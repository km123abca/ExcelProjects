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Vehicle Expense Tracker" sheetId="1" r:id="rId1"/>
    <sheet name="Vehicle List" sheetId="2" r:id="rId2"/>
    <sheet name="Expenses List" sheetId="3" r:id="rId3"/>
    <sheet name="Fuel Log" sheetId="4" r:id="rId4"/>
    <sheet name="Reminders" sheetId="5" r:id="rId5"/>
    <sheet name="Meter Tracking" sheetId="6" r:id="rId6"/>
  </sheets>
  <functionGroups builtInGroupCount="18"/>
  <definedNames>
    <definedName name="_xlnm._FilterDatabase" localSheetId="4" hidden="1">Reminders!$A$3:$G$9</definedName>
    <definedName name="_xlnm.Criteria" localSheetId="4">Reminders!$I$2:$J$3</definedName>
    <definedName name="Exp_Amount">OFFSET('Expenses List'!$C$3,1,,COUNTA('Expenses List'!$C$3:$C$9999)-1,1)</definedName>
    <definedName name="Exp_Date">OFFSET('Expenses List'!$B$3,1,,COUNTA('Expenses List'!$B$3:$B$9999)-1,1)</definedName>
    <definedName name="Exp_type">OFFSET('Expenses List'!$D$3,1,,COUNTA('Expenses List'!$D$3:$D$9999)-1,1)</definedName>
    <definedName name="Exp_Vehicle">OFFSET('Expenses List'!$A$3,1,,COUNTA('Expenses List'!$A$3:$A$9999)-1,-1)</definedName>
    <definedName name="ExpenseTypes">OFFSET('Vehicle Expense Tracker'!$A$18,1,,COUNTA('Vehicle Expense Tracker'!$A$19:$A$2500),1)</definedName>
    <definedName name="_xlnm.Extract" localSheetId="4">Reminders!$L$2:$R$2</definedName>
    <definedName name="Fuel_Amount">OFFSET('Fuel Log'!$C$3,1,,COUNTA('Fuel Log'!$C$3:$C$1044)-1,1)</definedName>
    <definedName name="Fuel_Date">OFFSET('Fuel Log'!$B$3,1,,COUNTA('Fuel Log'!$B$3:$B$1044)-1,1)</definedName>
    <definedName name="Fuel_Vehicle">OFFSET('Fuel Log'!$A$3,1,,COUNTA('Fuel Log'!$A$3:$A$1044)-1,1)</definedName>
    <definedName name="Vehicles">OFFSET('Vehicle List'!$A$3,1,,COUNTA('Vehicle List'!$A$3:$A$9988)-1,1)</definedName>
  </definedNames>
  <calcPr calcId="152511"/>
</workbook>
</file>

<file path=xl/calcChain.xml><?xml version="1.0" encoding="utf-8"?>
<calcChain xmlns="http://schemas.openxmlformats.org/spreadsheetml/2006/main">
  <c r="B82" i="4" l="1"/>
  <c r="B83" i="4"/>
  <c r="B77" i="4"/>
  <c r="B78" i="4"/>
  <c r="B79" i="4"/>
  <c r="B81" i="4" s="1"/>
  <c r="B80" i="4"/>
  <c r="B67" i="4"/>
  <c r="B69" i="4" s="1"/>
  <c r="B71" i="4" s="1"/>
  <c r="B73" i="4" s="1"/>
  <c r="B75" i="4" s="1"/>
  <c r="B68" i="4"/>
  <c r="B70" i="4"/>
  <c r="B72" i="4" s="1"/>
  <c r="B74" i="4" s="1"/>
  <c r="B76" i="4" s="1"/>
  <c r="B59" i="4"/>
  <c r="B60" i="4"/>
  <c r="B61" i="4"/>
  <c r="B63" i="4" s="1"/>
  <c r="B65" i="4" s="1"/>
  <c r="B62" i="4"/>
  <c r="B64" i="4" s="1"/>
  <c r="B66" i="4" s="1"/>
  <c r="B57" i="4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4" i="3"/>
  <c r="P79" i="1" l="1"/>
  <c r="P78" i="1"/>
  <c r="P82" i="1"/>
  <c r="P83" i="1"/>
  <c r="P81" i="1"/>
  <c r="P80" i="1"/>
  <c r="G9" i="5" l="1"/>
  <c r="G8" i="5" l="1"/>
  <c r="G7" i="5"/>
  <c r="B4" i="1" l="1"/>
  <c r="J3" i="5" l="1"/>
  <c r="B5" i="4"/>
  <c r="B6" i="4" s="1"/>
  <c r="B7" i="4" l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8" i="4" s="1"/>
  <c r="S81" i="1"/>
  <c r="S82" i="1"/>
  <c r="S84" i="1"/>
  <c r="S86" i="1"/>
  <c r="S89" i="1"/>
  <c r="S88" i="1"/>
  <c r="S79" i="1"/>
  <c r="S87" i="1"/>
  <c r="S83" i="1"/>
  <c r="S80" i="1"/>
  <c r="S85" i="1" l="1"/>
  <c r="S78" i="1"/>
</calcChain>
</file>

<file path=xl/sharedStrings.xml><?xml version="1.0" encoding="utf-8"?>
<sst xmlns="http://schemas.openxmlformats.org/spreadsheetml/2006/main" count="688" uniqueCount="166">
  <si>
    <t>VEHICLES</t>
  </si>
  <si>
    <t>Car 1</t>
  </si>
  <si>
    <t>Car 2</t>
  </si>
  <si>
    <t>Car 3</t>
  </si>
  <si>
    <t>Car 4</t>
  </si>
  <si>
    <t>Car 5</t>
  </si>
  <si>
    <t>Car 6</t>
  </si>
  <si>
    <t>REPAIRS AND EXPENSES</t>
  </si>
  <si>
    <t>FUEL PURCHASES AND TRACKING</t>
  </si>
  <si>
    <t>REMINDERS</t>
  </si>
  <si>
    <t>METER TRACKING</t>
  </si>
  <si>
    <t>VEHICLE DASHBOARD</t>
  </si>
  <si>
    <t>VEHICLE EXPENSE TRACKER</t>
  </si>
  <si>
    <t>Sel.Tab</t>
  </si>
  <si>
    <t>Sel. Car</t>
  </si>
  <si>
    <t>Name:</t>
  </si>
  <si>
    <t>Make:</t>
  </si>
  <si>
    <t>Type:</t>
  </si>
  <si>
    <t>Notes:</t>
  </si>
  <si>
    <t>Plate #</t>
  </si>
  <si>
    <t>Model:</t>
  </si>
  <si>
    <t>Seats:</t>
  </si>
  <si>
    <t>Vehichle Picture</t>
  </si>
  <si>
    <t>F6</t>
  </si>
  <si>
    <t>H6</t>
  </si>
  <si>
    <t>F8</t>
  </si>
  <si>
    <t>H8</t>
  </si>
  <si>
    <t>F10</t>
  </si>
  <si>
    <t>H10</t>
  </si>
  <si>
    <t>F12</t>
  </si>
  <si>
    <t>J13</t>
  </si>
  <si>
    <t>Vehicle List</t>
  </si>
  <si>
    <t>Name</t>
  </si>
  <si>
    <t>Make</t>
  </si>
  <si>
    <t>Model</t>
  </si>
  <si>
    <t>Type</t>
  </si>
  <si>
    <t>Seats</t>
  </si>
  <si>
    <t>Notes</t>
  </si>
  <si>
    <t>Picture</t>
  </si>
  <si>
    <t>Toyota</t>
  </si>
  <si>
    <t>Camry</t>
  </si>
  <si>
    <t>Sedan</t>
  </si>
  <si>
    <t>Test Car Notes</t>
  </si>
  <si>
    <t>F19</t>
  </si>
  <si>
    <t>H19</t>
  </si>
  <si>
    <t>J19</t>
  </si>
  <si>
    <t>F21</t>
  </si>
  <si>
    <t>H21</t>
  </si>
  <si>
    <t>F23</t>
  </si>
  <si>
    <t>Expenses</t>
  </si>
  <si>
    <t>Vehicle</t>
  </si>
  <si>
    <t>Date</t>
  </si>
  <si>
    <t>Amount</t>
  </si>
  <si>
    <t>Exp. Type</t>
  </si>
  <si>
    <t>Vendor</t>
  </si>
  <si>
    <t>Oil</t>
  </si>
  <si>
    <t>Fred's Garage</t>
  </si>
  <si>
    <t>Test notes</t>
  </si>
  <si>
    <t>Tires</t>
  </si>
  <si>
    <t>Repairs</t>
  </si>
  <si>
    <t>Cleaning</t>
  </si>
  <si>
    <t>Toll Fees</t>
  </si>
  <si>
    <t>Fuel Purchases</t>
  </si>
  <si>
    <t>Unit</t>
  </si>
  <si>
    <t>Qty</t>
  </si>
  <si>
    <t>Station</t>
  </si>
  <si>
    <t>Liters</t>
  </si>
  <si>
    <t>Freds Gas</t>
  </si>
  <si>
    <t>Test Gas Notes</t>
  </si>
  <si>
    <t>F45</t>
  </si>
  <si>
    <t>H45</t>
  </si>
  <si>
    <t>J45</t>
  </si>
  <si>
    <t>F47</t>
  </si>
  <si>
    <t>J47</t>
  </si>
  <si>
    <t>Criteria</t>
  </si>
  <si>
    <t>Results</t>
  </si>
  <si>
    <t>Reminders</t>
  </si>
  <si>
    <t>Status</t>
  </si>
  <si>
    <t>Next Date</t>
  </si>
  <si>
    <t>Freq.</t>
  </si>
  <si>
    <t>Last Date</t>
  </si>
  <si>
    <t>Row</t>
  </si>
  <si>
    <t>Active</t>
  </si>
  <si>
    <t>Oil Change</t>
  </si>
  <si>
    <t>Tire Check</t>
  </si>
  <si>
    <t>Fluid Check</t>
  </si>
  <si>
    <t>F32</t>
  </si>
  <si>
    <t>H32</t>
  </si>
  <si>
    <t>J32</t>
  </si>
  <si>
    <t>F34</t>
  </si>
  <si>
    <t>H34</t>
  </si>
  <si>
    <t>J34</t>
  </si>
  <si>
    <t>F36</t>
  </si>
  <si>
    <t>F63</t>
  </si>
  <si>
    <t>H63</t>
  </si>
  <si>
    <t>J63</t>
  </si>
  <si>
    <t>F65</t>
  </si>
  <si>
    <t>F67</t>
  </si>
  <si>
    <t>Meter Tracking</t>
  </si>
  <si>
    <t>Reading</t>
  </si>
  <si>
    <t>KM</t>
  </si>
  <si>
    <t>Vehicle:</t>
  </si>
  <si>
    <t>Expense Type:</t>
  </si>
  <si>
    <t>Date:</t>
  </si>
  <si>
    <t>Vendor:</t>
  </si>
  <si>
    <t>Amount:</t>
  </si>
  <si>
    <t>Unit:</t>
  </si>
  <si>
    <t>Qty:</t>
  </si>
  <si>
    <t>Station:</t>
  </si>
  <si>
    <t>Next Date:</t>
  </si>
  <si>
    <t xml:space="preserve">Every </t>
  </si>
  <si>
    <t xml:space="preserve"> Days</t>
  </si>
  <si>
    <t>Status:</t>
  </si>
  <si>
    <t>Frequency</t>
  </si>
  <si>
    <t xml:space="preserve">Status </t>
  </si>
  <si>
    <t>Reading:</t>
  </si>
  <si>
    <t>From:</t>
  </si>
  <si>
    <t>To:</t>
  </si>
  <si>
    <t>Veh Db Row</t>
  </si>
  <si>
    <t>New Veh</t>
  </si>
  <si>
    <t xml:space="preserve">Car Load </t>
  </si>
  <si>
    <t>Cars</t>
  </si>
  <si>
    <t>F:\gitClones\Excel\Vehichle Management\6.png</t>
  </si>
  <si>
    <t>F:\gitClones\Excel\Vehichle Management\55.jpg</t>
  </si>
  <si>
    <t>F:\gitClones\Excel\Vehichle Management\4.jpg</t>
  </si>
  <si>
    <t>F:\gitClones\Excel\Vehichle Management\car2.png</t>
  </si>
  <si>
    <t>F:\gitClones\Excel\Vehichle Management\655.jpg</t>
  </si>
  <si>
    <t>Car 7</t>
  </si>
  <si>
    <t>Hurracan</t>
  </si>
  <si>
    <t>Plate</t>
  </si>
  <si>
    <t>Lamborghini</t>
  </si>
  <si>
    <t>Mercedess</t>
  </si>
  <si>
    <t>Car 8</t>
  </si>
  <si>
    <t>Italian</t>
  </si>
  <si>
    <t>GLX</t>
  </si>
  <si>
    <t>SUV</t>
  </si>
  <si>
    <t>Great Car</t>
  </si>
  <si>
    <t>Etios</t>
  </si>
  <si>
    <t>Nothing special about this one</t>
  </si>
  <si>
    <t>Cheverolet</t>
  </si>
  <si>
    <t>Camara</t>
  </si>
  <si>
    <t>F:\gitClones\Excel\Vehichle Management\1.jpg</t>
  </si>
  <si>
    <t>Sedann</t>
  </si>
  <si>
    <t>Bribe</t>
  </si>
  <si>
    <t>Jimmy Vegas</t>
  </si>
  <si>
    <t>Good Work Jimmy</t>
  </si>
  <si>
    <t>Sara kin</t>
  </si>
  <si>
    <t>Painting</t>
  </si>
  <si>
    <t>Fuel Filter</t>
  </si>
  <si>
    <t>Fuel Gauze</t>
  </si>
  <si>
    <t>Great Reading</t>
  </si>
  <si>
    <t>Repairs &amp; Expenses</t>
  </si>
  <si>
    <t>Fuel costs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</si>
  <si>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</si>
  <si>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</si>
  <si>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</si>
  <si>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</si>
  <si>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</si>
  <si>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</si>
  <si>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</si>
  <si>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</si>
  <si>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</si>
  <si>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</si>
  <si>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</si>
  <si>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</si>
  <si>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Car2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</si>
</sst>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₹&quot;\ * #,##0.00_ ;_ &quot;₹&quot;\ * \-#,##0.00_ ;_ &quot;₹&quot;\ * &quot;-&quot;??_ ;_ @_ "/>
  </numFmts>
  <fonts count="9" x14ac:knownFonts="1">
    <font>
      <sz val="11"/>
      <color theme="1"/>
      <name val="Calibri"/>
      <family val="2"/>
      <scheme val="minor"/>
    </font>
    <font>
      <b/>
      <sz val="20"/>
      <color theme="3" tint="-0.249977111117893"/>
      <name val="Calibri"/>
      <family val="2"/>
      <scheme val="minor"/>
    </font>
    <font>
      <sz val="11"/>
      <color theme="1"/>
      <name val="Algerian"/>
      <family val="5"/>
    </font>
    <font>
      <b/>
      <sz val="22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90">
        <stop position="0">
          <color rgb="FF92D050"/>
        </stop>
        <stop position="1">
          <color theme="6" tint="-0.49803155613879818"/>
        </stop>
      </gradientFill>
    </fill>
    <fill>
      <gradientFill>
        <stop position="0">
          <color theme="4"/>
        </stop>
        <stop position="1">
          <color theme="6"/>
        </stop>
      </gradient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5" tint="0.40000610370189521"/>
        </stop>
        <stop position="1">
          <color theme="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ck">
        <color theme="3" tint="-0.24994659260841701"/>
      </left>
      <right/>
      <top style="thick">
        <color theme="3" tint="-0.24994659260841701"/>
      </top>
      <bottom/>
      <diagonal/>
    </border>
    <border>
      <left/>
      <right/>
      <top style="thick">
        <color theme="3" tint="-0.24994659260841701"/>
      </top>
      <bottom/>
      <diagonal/>
    </border>
    <border>
      <left/>
      <right style="thick">
        <color theme="3" tint="-0.24994659260841701"/>
      </right>
      <top style="thick">
        <color theme="3" tint="-0.24994659260841701"/>
      </top>
      <bottom/>
      <diagonal/>
    </border>
    <border>
      <left style="thick">
        <color theme="3" tint="-0.24994659260841701"/>
      </left>
      <right/>
      <top/>
      <bottom/>
      <diagonal/>
    </border>
    <border>
      <left/>
      <right style="thick">
        <color theme="3" tint="-0.24994659260841701"/>
      </right>
      <top/>
      <bottom/>
      <diagonal/>
    </border>
    <border>
      <left style="thick">
        <color theme="3" tint="-0.24994659260841701"/>
      </left>
      <right/>
      <top/>
      <bottom style="thick">
        <color theme="3" tint="-0.24994659260841701"/>
      </bottom>
      <diagonal/>
    </border>
    <border>
      <left/>
      <right/>
      <top/>
      <bottom style="thick">
        <color theme="3" tint="-0.24994659260841701"/>
      </bottom>
      <diagonal/>
    </border>
    <border>
      <left/>
      <right style="thick">
        <color theme="3" tint="-0.24994659260841701"/>
      </right>
      <top/>
      <bottom style="thick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6" tint="-0.499984740745262"/>
      </left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rgb="FF0033CC"/>
      </left>
      <right style="thin">
        <color rgb="FF0033CC"/>
      </right>
      <top style="thin">
        <color rgb="FF0033CC"/>
      </top>
      <bottom style="thin">
        <color rgb="FF0033CC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33CC"/>
      </left>
      <right/>
      <top/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rgb="FF0033CC"/>
      </left>
      <right/>
      <top style="thin">
        <color rgb="FF0033CC"/>
      </top>
      <bottom/>
      <diagonal/>
    </border>
    <border>
      <left/>
      <right/>
      <top style="thin">
        <color rgb="FF0033CC"/>
      </top>
      <bottom/>
      <diagonal/>
    </border>
    <border>
      <left/>
      <right style="thin">
        <color rgb="FF0033CC"/>
      </right>
      <top style="thin">
        <color rgb="FF0033CC"/>
      </top>
      <bottom/>
      <diagonal/>
    </border>
    <border>
      <left/>
      <right style="thin">
        <color rgb="FF0033CC"/>
      </right>
      <top/>
      <bottom/>
      <diagonal/>
    </border>
    <border>
      <left style="thin">
        <color rgb="FF0033CC"/>
      </left>
      <right/>
      <top/>
      <bottom style="thin">
        <color rgb="FF0033CC"/>
      </bottom>
      <diagonal/>
    </border>
    <border>
      <left/>
      <right/>
      <top/>
      <bottom style="thin">
        <color rgb="FF0033CC"/>
      </bottom>
      <diagonal/>
    </border>
    <border>
      <left/>
      <right style="thin">
        <color rgb="FF0033CC"/>
      </right>
      <top/>
      <bottom style="thin">
        <color rgb="FF0033CC"/>
      </bottom>
      <diagonal/>
    </border>
    <border>
      <left style="thick">
        <color rgb="FFC00000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C00000"/>
      </top>
      <bottom style="thin">
        <color indexed="64"/>
      </bottom>
      <diagonal/>
    </border>
    <border>
      <left style="thin">
        <color indexed="64"/>
      </left>
      <right style="thick">
        <color rgb="FFC00000"/>
      </right>
      <top style="thick">
        <color rgb="FFC00000"/>
      </top>
      <bottom style="thin">
        <color indexed="64"/>
      </bottom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 style="dashed">
        <color theme="9" tint="-0.499984740745262"/>
      </left>
      <right style="dashed">
        <color theme="9" tint="-0.499984740745262"/>
      </right>
      <top style="thin">
        <color indexed="64"/>
      </top>
      <bottom/>
      <diagonal/>
    </border>
    <border>
      <left style="dashed">
        <color theme="9" tint="-0.499984740745262"/>
      </left>
      <right style="dashed">
        <color theme="9" tint="-0.499984740745262"/>
      </right>
      <top/>
      <bottom/>
      <diagonal/>
    </border>
    <border>
      <left style="dashed">
        <color theme="9" tint="-0.499984740745262"/>
      </left>
      <right style="dashed">
        <color theme="9" tint="-0.499984740745262"/>
      </right>
      <top/>
      <bottom style="thick">
        <color rgb="FFC00000"/>
      </bottom>
      <diagonal/>
    </border>
    <border>
      <left style="thin">
        <color rgb="FF0033CC"/>
      </left>
      <right style="thin">
        <color rgb="FF0033CC"/>
      </right>
      <top/>
      <bottom style="thin">
        <color rgb="FF0033CC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128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5" borderId="1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2" fillId="0" borderId="0" xfId="0" applyFont="1"/>
    <xf numFmtId="0" fontId="0" fillId="5" borderId="0" xfId="0" applyFill="1" applyBorder="1" applyAlignment="1">
      <alignment horizontal="right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0" xfId="0" applyFill="1" applyBorder="1"/>
    <xf numFmtId="0" fontId="0" fillId="5" borderId="12" xfId="0" applyFill="1" applyBorder="1"/>
    <xf numFmtId="0" fontId="0" fillId="5" borderId="9" xfId="0" applyFill="1" applyBorder="1" applyAlignment="1">
      <alignment horizontal="left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6" fillId="9" borderId="18" xfId="0" applyFont="1" applyFill="1" applyBorder="1" applyAlignment="1">
      <alignment horizontal="center"/>
    </xf>
    <xf numFmtId="0" fontId="6" fillId="9" borderId="19" xfId="0" applyFont="1" applyFill="1" applyBorder="1" applyAlignment="1">
      <alignment horizontal="center"/>
    </xf>
    <xf numFmtId="0" fontId="6" fillId="9" borderId="20" xfId="0" applyFont="1" applyFill="1" applyBorder="1" applyAlignment="1">
      <alignment horizontal="center"/>
    </xf>
    <xf numFmtId="0" fontId="0" fillId="10" borderId="18" xfId="0" applyFont="1" applyFill="1" applyBorder="1"/>
    <xf numFmtId="0" fontId="0" fillId="10" borderId="19" xfId="0" applyFont="1" applyFill="1" applyBorder="1"/>
    <xf numFmtId="0" fontId="0" fillId="0" borderId="18" xfId="0" applyFont="1" applyBorder="1"/>
    <xf numFmtId="0" fontId="0" fillId="11" borderId="21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14" fontId="0" fillId="0" borderId="0" xfId="0" applyNumberFormat="1"/>
    <xf numFmtId="44" fontId="0" fillId="0" borderId="0" xfId="1" applyFont="1"/>
    <xf numFmtId="0" fontId="0" fillId="13" borderId="21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/>
    <xf numFmtId="0" fontId="0" fillId="14" borderId="21" xfId="0" applyFill="1" applyBorder="1" applyAlignment="1">
      <alignment horizontal="center"/>
    </xf>
    <xf numFmtId="0" fontId="0" fillId="15" borderId="21" xfId="0" applyFill="1" applyBorder="1" applyAlignment="1">
      <alignment horizontal="center"/>
    </xf>
    <xf numFmtId="0" fontId="0" fillId="15" borderId="28" xfId="0" applyFill="1" applyBorder="1" applyAlignment="1">
      <alignment horizontal="center"/>
    </xf>
    <xf numFmtId="0" fontId="0" fillId="15" borderId="21" xfId="0" applyFill="1" applyBorder="1"/>
    <xf numFmtId="0" fontId="0" fillId="11" borderId="29" xfId="0" applyFill="1" applyBorder="1" applyAlignment="1">
      <alignment horizontal="center"/>
    </xf>
    <xf numFmtId="0" fontId="0" fillId="11" borderId="28" xfId="0" applyFill="1" applyBorder="1" applyAlignment="1">
      <alignment horizontal="center"/>
    </xf>
    <xf numFmtId="0" fontId="0" fillId="16" borderId="21" xfId="0" applyFill="1" applyBorder="1" applyAlignment="1">
      <alignment horizontal="center"/>
    </xf>
    <xf numFmtId="0" fontId="0" fillId="17" borderId="0" xfId="0" applyFill="1" applyBorder="1" applyAlignment="1">
      <alignment horizontal="right"/>
    </xf>
    <xf numFmtId="0" fontId="0" fillId="18" borderId="30" xfId="0" applyFill="1" applyBorder="1"/>
    <xf numFmtId="16" fontId="0" fillId="18" borderId="30" xfId="0" applyNumberFormat="1" applyFill="1" applyBorder="1"/>
    <xf numFmtId="0" fontId="0" fillId="17" borderId="0" xfId="0" applyFill="1" applyBorder="1"/>
    <xf numFmtId="0" fontId="0" fillId="17" borderId="0" xfId="0" applyFill="1" applyBorder="1" applyAlignment="1">
      <alignment horizontal="left"/>
    </xf>
    <xf numFmtId="0" fontId="0" fillId="19" borderId="50" xfId="0" applyFill="1" applyBorder="1"/>
    <xf numFmtId="0" fontId="0" fillId="19" borderId="51" xfId="0" applyFill="1" applyBorder="1"/>
    <xf numFmtId="0" fontId="0" fillId="19" borderId="52" xfId="0" applyFill="1" applyBorder="1"/>
    <xf numFmtId="0" fontId="0" fillId="18" borderId="53" xfId="0" applyFill="1" applyBorder="1"/>
    <xf numFmtId="0" fontId="0" fillId="18" borderId="54" xfId="0" applyFill="1" applyBorder="1"/>
    <xf numFmtId="0" fontId="0" fillId="18" borderId="55" xfId="0" applyFill="1" applyBorder="1"/>
    <xf numFmtId="0" fontId="0" fillId="18" borderId="56" xfId="0" applyFill="1" applyBorder="1"/>
    <xf numFmtId="0" fontId="0" fillId="18" borderId="57" xfId="0" applyFill="1" applyBorder="1"/>
    <xf numFmtId="0" fontId="0" fillId="18" borderId="58" xfId="0" applyFill="1" applyBorder="1"/>
    <xf numFmtId="0" fontId="0" fillId="18" borderId="59" xfId="0" applyFill="1" applyBorder="1"/>
    <xf numFmtId="0" fontId="0" fillId="18" borderId="60" xfId="0" applyFill="1" applyBorder="1"/>
    <xf numFmtId="16" fontId="0" fillId="18" borderId="60" xfId="0" applyNumberFormat="1" applyFill="1" applyBorder="1"/>
    <xf numFmtId="0" fontId="0" fillId="20" borderId="0" xfId="0" applyFill="1"/>
    <xf numFmtId="0" fontId="0" fillId="20" borderId="0" xfId="0" applyFill="1" applyAlignment="1">
      <alignment horizontal="left" vertical="center"/>
    </xf>
    <xf numFmtId="0" fontId="0" fillId="20" borderId="0" xfId="0" applyFill="1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9" xfId="0" applyFill="1" applyBorder="1" applyAlignment="1">
      <alignment horizontal="left"/>
    </xf>
    <xf numFmtId="0" fontId="0" fillId="0" borderId="0" xfId="0" applyFill="1" applyBorder="1"/>
    <xf numFmtId="0" fontId="0" fillId="0" borderId="10" xfId="0" applyFill="1" applyBorder="1" applyAlignment="1">
      <alignment vertical="top"/>
    </xf>
    <xf numFmtId="0" fontId="0" fillId="0" borderId="11" xfId="0" applyFill="1" applyBorder="1" applyAlignment="1">
      <alignment vertical="top"/>
    </xf>
    <xf numFmtId="0" fontId="0" fillId="0" borderId="12" xfId="0" applyFill="1" applyBorder="1" applyAlignment="1">
      <alignment vertical="top"/>
    </xf>
    <xf numFmtId="0" fontId="0" fillId="0" borderId="13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0" fillId="0" borderId="15" xfId="0" applyFill="1" applyBorder="1" applyAlignment="1">
      <alignment vertical="top"/>
    </xf>
    <xf numFmtId="0" fontId="0" fillId="0" borderId="16" xfId="0" applyFill="1" applyBorder="1" applyAlignment="1">
      <alignment vertical="top"/>
    </xf>
    <xf numFmtId="0" fontId="0" fillId="0" borderId="17" xfId="0" applyFill="1" applyBorder="1" applyAlignment="1">
      <alignment vertical="top"/>
    </xf>
    <xf numFmtId="14" fontId="0" fillId="18" borderId="30" xfId="0" applyNumberFormat="1" applyFill="1" applyBorder="1"/>
    <xf numFmtId="14" fontId="0" fillId="18" borderId="58" xfId="0" applyNumberFormat="1" applyFill="1" applyBorder="1"/>
    <xf numFmtId="14" fontId="0" fillId="18" borderId="54" xfId="0" applyNumberFormat="1" applyFill="1" applyBorder="1"/>
    <xf numFmtId="14" fontId="0" fillId="18" borderId="57" xfId="0" applyNumberFormat="1" applyFill="1" applyBorder="1"/>
    <xf numFmtId="14" fontId="0" fillId="18" borderId="60" xfId="0" applyNumberFormat="1" applyFill="1" applyBorder="1"/>
    <xf numFmtId="0" fontId="1" fillId="5" borderId="2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5" borderId="10" xfId="0" applyFill="1" applyBorder="1" applyAlignment="1">
      <alignment horizontal="left" vertical="top"/>
    </xf>
    <xf numFmtId="0" fontId="0" fillId="5" borderId="11" xfId="0" applyFill="1" applyBorder="1" applyAlignment="1">
      <alignment horizontal="left" vertical="top"/>
    </xf>
    <xf numFmtId="0" fontId="0" fillId="5" borderId="12" xfId="0" applyFill="1" applyBorder="1" applyAlignment="1">
      <alignment horizontal="left" vertical="top"/>
    </xf>
    <xf numFmtId="0" fontId="0" fillId="5" borderId="13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5" borderId="15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17" xfId="0" applyFill="1" applyBorder="1" applyAlignment="1">
      <alignment horizontal="left" vertical="top"/>
    </xf>
    <xf numFmtId="0" fontId="4" fillId="6" borderId="10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0" fillId="18" borderId="32" xfId="0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18" borderId="34" xfId="0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0" fillId="18" borderId="35" xfId="0" applyFill="1" applyBorder="1" applyAlignment="1">
      <alignment horizontal="center"/>
    </xf>
    <xf numFmtId="0" fontId="0" fillId="18" borderId="36" xfId="0" applyFill="1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38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41" xfId="0" applyFill="1" applyBorder="1" applyAlignment="1">
      <alignment horizontal="center"/>
    </xf>
    <xf numFmtId="0" fontId="0" fillId="18" borderId="42" xfId="0" applyFill="1" applyBorder="1" applyAlignment="1">
      <alignment horizontal="center"/>
    </xf>
    <xf numFmtId="0" fontId="0" fillId="18" borderId="43" xfId="0" applyFill="1" applyBorder="1" applyAlignment="1">
      <alignment horizontal="left" vertical="top"/>
    </xf>
    <xf numFmtId="0" fontId="0" fillId="18" borderId="44" xfId="0" applyFill="1" applyBorder="1" applyAlignment="1">
      <alignment horizontal="left" vertical="top"/>
    </xf>
    <xf numFmtId="0" fontId="0" fillId="18" borderId="45" xfId="0" applyFill="1" applyBorder="1" applyAlignment="1">
      <alignment horizontal="left" vertical="top"/>
    </xf>
    <xf numFmtId="0" fontId="0" fillId="18" borderId="39" xfId="0" applyFill="1" applyBorder="1" applyAlignment="1">
      <alignment horizontal="left" vertical="top"/>
    </xf>
    <xf numFmtId="0" fontId="0" fillId="18" borderId="0" xfId="0" applyFill="1" applyBorder="1" applyAlignment="1">
      <alignment horizontal="left" vertical="top"/>
    </xf>
    <xf numFmtId="0" fontId="0" fillId="18" borderId="46" xfId="0" applyFill="1" applyBorder="1" applyAlignment="1">
      <alignment horizontal="left" vertical="top"/>
    </xf>
    <xf numFmtId="0" fontId="0" fillId="18" borderId="47" xfId="0" applyFill="1" applyBorder="1" applyAlignment="1">
      <alignment horizontal="left" vertical="top"/>
    </xf>
    <xf numFmtId="0" fontId="0" fillId="18" borderId="48" xfId="0" applyFill="1" applyBorder="1" applyAlignment="1">
      <alignment horizontal="left" vertical="top"/>
    </xf>
    <xf numFmtId="0" fontId="0" fillId="18" borderId="49" xfId="0" applyFill="1" applyBorder="1" applyAlignment="1">
      <alignment horizontal="left" vertical="top"/>
    </xf>
    <xf numFmtId="0" fontId="7" fillId="8" borderId="0" xfId="0" applyFont="1" applyFill="1" applyAlignment="1">
      <alignment horizontal="center"/>
    </xf>
    <xf numFmtId="0" fontId="8" fillId="12" borderId="21" xfId="0" applyFont="1" applyFill="1" applyBorder="1" applyAlignment="1">
      <alignment horizontal="center"/>
    </xf>
    <xf numFmtId="0" fontId="8" fillId="13" borderId="22" xfId="0" applyFont="1" applyFill="1" applyBorder="1" applyAlignment="1">
      <alignment horizontal="center"/>
    </xf>
    <xf numFmtId="0" fontId="8" fillId="13" borderId="23" xfId="0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/>
    </xf>
    <xf numFmtId="0" fontId="4" fillId="14" borderId="25" xfId="0" applyFont="1" applyFill="1" applyBorder="1" applyAlignment="1">
      <alignment horizontal="center"/>
    </xf>
    <xf numFmtId="0" fontId="4" fillId="14" borderId="26" xfId="0" applyFont="1" applyFill="1" applyBorder="1" applyAlignment="1">
      <alignment horizontal="center"/>
    </xf>
    <xf numFmtId="0" fontId="4" fillId="14" borderId="27" xfId="0" applyFont="1" applyFill="1" applyBorder="1" applyAlignment="1">
      <alignment horizontal="center"/>
    </xf>
    <xf numFmtId="0" fontId="4" fillId="14" borderId="0" xfId="0" applyFont="1" applyFill="1" applyBorder="1" applyAlignment="1">
      <alignment horizontal="center"/>
    </xf>
    <xf numFmtId="0" fontId="0" fillId="14" borderId="27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6" borderId="21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59996337778862885"/>
        </patternFill>
      </fill>
    </dxf>
    <dxf>
      <fill>
        <gradientFill>
          <stop position="0">
            <color theme="5" tint="0.40000610370189521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ill>
        <gradientFill degree="90">
          <stop position="0">
            <color theme="0" tint="-0.25098422193060094"/>
          </stop>
          <stop position="1">
            <color theme="6" tint="0.59999389629810485"/>
          </stop>
        </gradient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gradientFill degree="90">
          <stop position="0">
            <color theme="0" tint="-0.25098422193060094"/>
          </stop>
          <stop position="1">
            <color theme="6" tint="0.59999389629810485"/>
          </stop>
        </gradientFill>
      </fill>
      <border>
        <left style="thin">
          <color auto="1"/>
        </left>
        <right style="thin">
          <color auto="1"/>
        </right>
        <bottom/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'Vehicle Expense Tracker'!$O$77</c:f>
          <c:strCache>
            <c:ptCount val="1"/>
            <c:pt idx="0">
              <c:v>Repairs &amp; Expenses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explosion val="32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'Vehicle Expense Tracker'!$O$78:$O$83</c:f>
            </c:strRef>
          </c:cat>
          <c:val>
            <c:numRef>
              <c:f>'Vehicle Expense Tracker'!$P$78:$P$83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'Vehicle Expense Tracker'!$R$77</c:f>
          <c:strCache>
            <c:ptCount val="1"/>
            <c:pt idx="0">
              <c:v>Fuel costs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'Vehicle Expense Tracker'!$R$78:$R$89</c:f>
              <c:strCache>
                <c:ptCount val="2"/>
                <c:pt idx="0">
                  <c:v>November</c:v>
                </c:pt>
                <c:pt idx="1">
                  <c:v>December</c:v>
                </c:pt>
              </c:strCache>
            </c:strRef>
          </c:cat>
          <c:val>
            <c:numRef>
              <c:f>'Vehicle Expense Tracker'!$S$78:$S$89</c:f>
              <c:numCache>
                <c:formatCode>General</c:formatCode>
                <c:ptCount val="2"/>
                <c:pt idx="0">
                  <c:v>864</c:v>
                </c:pt>
                <c:pt idx="1">
                  <c:v>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442326288"/>
        <c:axId val="-1442322480"/>
      </c:lineChart>
      <c:catAx>
        <c:axId val="-144232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322480"/>
        <c:crosses val="autoZero"/>
        <c:auto val="1"/>
        <c:lblAlgn val="ctr"/>
        <c:lblOffset val="100"/>
        <c:noMultiLvlLbl val="0"/>
      </c:catAx>
      <c:valAx>
        <c:axId val="-1442322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423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file:///F:\gitClones\Excel\Vehichle%20Management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494886</xdr:colOff>
      <xdr:row>3</xdr:row>
      <xdr:rowOff>98564</xdr:rowOff>
    </xdr:from>
    <xdr:to>
      <xdr:col>6</xdr:col>
      <xdr:colOff>590136</xdr:colOff>
      <xdr:row>4</xdr:row>
      <xdr:rowOff>6627</xdr:rowOff>
    </xdr:to>
    <xdr:sp macro="[0]!veh_find_and_save" textlink="">
      <xdr:nvSpPr>
        <xdr:cNvPr id="24" name="SaveVeh"/>
        <xdr:cNvSpPr/>
      </xdr:nvSpPr>
      <xdr:spPr>
        <a:xfrm>
          <a:off x="4735582" y="1531455"/>
          <a:ext cx="1006337" cy="2476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Save</a:t>
          </a:r>
          <a:r>
            <a:rPr lang="en-IN" sz="1100" b="1" baseline="0">
              <a:solidFill>
                <a:schemeClr val="tx1"/>
              </a:solidFill>
            </a:rPr>
            <a:t> Vehicle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1295400</xdr:colOff>
      <xdr:row>1</xdr:row>
      <xdr:rowOff>95251</xdr:rowOff>
    </xdr:from>
    <xdr:to>
      <xdr:col>10</xdr:col>
      <xdr:colOff>28576</xdr:colOff>
      <xdr:row>1</xdr:row>
      <xdr:rowOff>590551</xdr:rowOff>
    </xdr:to>
    <xdr:grpSp>
      <xdr:nvGrpSpPr>
        <xdr:cNvPr id="20" name="Group 19"/>
        <xdr:cNvGrpSpPr/>
      </xdr:nvGrpSpPr>
      <xdr:grpSpPr>
        <a:xfrm>
          <a:off x="3299791" y="641903"/>
          <a:ext cx="5524915" cy="495300"/>
          <a:chOff x="3143250" y="685801"/>
          <a:chExt cx="5543551" cy="495300"/>
        </a:xfrm>
      </xdr:grpSpPr>
      <xdr:grpSp>
        <xdr:nvGrpSpPr>
          <xdr:cNvPr id="9" name="Group 8"/>
          <xdr:cNvGrpSpPr/>
        </xdr:nvGrpSpPr>
        <xdr:grpSpPr>
          <a:xfrm>
            <a:off x="3143250" y="704850"/>
            <a:ext cx="866774" cy="476250"/>
            <a:chOff x="2343150" y="685800"/>
            <a:chExt cx="761999" cy="476250"/>
          </a:xfrm>
        </xdr:grpSpPr>
        <xdr:sp macro="[0]!veh_tab" textlink="">
          <xdr:nvSpPr>
            <xdr:cNvPr id="2" name="Rectangle 1"/>
            <xdr:cNvSpPr/>
          </xdr:nvSpPr>
          <xdr:spPr>
            <a:xfrm>
              <a:off x="2412441" y="685800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lvl="0" algn="r"/>
              <a:endParaRPr lang="en-IN" sz="10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  <xdr:sp macro="[0]!veh_tab" textlink="">
          <xdr:nvSpPr>
            <xdr:cNvPr id="8" name="TextBox 7"/>
            <xdr:cNvSpPr txBox="1"/>
          </xdr:nvSpPr>
          <xdr:spPr>
            <a:xfrm>
              <a:off x="2343150" y="838200"/>
              <a:ext cx="761999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IN" sz="1100" b="1"/>
                <a:t>VEHICLES</a:t>
              </a:r>
            </a:p>
          </xdr:txBody>
        </xdr:sp>
      </xdr:grpSp>
      <xdr:grpSp>
        <xdr:nvGrpSpPr>
          <xdr:cNvPr id="15" name="Group 14"/>
          <xdr:cNvGrpSpPr/>
        </xdr:nvGrpSpPr>
        <xdr:grpSpPr>
          <a:xfrm>
            <a:off x="4162424" y="685801"/>
            <a:ext cx="866776" cy="495300"/>
            <a:chOff x="3201352" y="685800"/>
            <a:chExt cx="685800" cy="476250"/>
          </a:xfrm>
        </xdr:grpSpPr>
        <xdr:sp macro="[0]!rep_tab" textlink="">
          <xdr:nvSpPr>
            <xdr:cNvPr id="3" name="Rectangle 2"/>
            <xdr:cNvSpPr/>
          </xdr:nvSpPr>
          <xdr:spPr>
            <a:xfrm>
              <a:off x="3201352" y="685800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[0]!rep_tab" textlink="">
          <xdr:nvSpPr>
            <xdr:cNvPr id="10" name="TextBox 9"/>
            <xdr:cNvSpPr txBox="1"/>
          </xdr:nvSpPr>
          <xdr:spPr>
            <a:xfrm>
              <a:off x="3238501" y="800100"/>
              <a:ext cx="631507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1000" b="1"/>
                <a:t>REPAIRS</a:t>
              </a:r>
            </a:p>
          </xdr:txBody>
        </xdr:sp>
      </xdr:grpSp>
      <xdr:grpSp>
        <xdr:nvGrpSpPr>
          <xdr:cNvPr id="16" name="Group 15"/>
          <xdr:cNvGrpSpPr/>
        </xdr:nvGrpSpPr>
        <xdr:grpSpPr>
          <a:xfrm>
            <a:off x="5133974" y="695325"/>
            <a:ext cx="762000" cy="476250"/>
            <a:chOff x="4019550" y="676275"/>
            <a:chExt cx="704850" cy="476250"/>
          </a:xfrm>
        </xdr:grpSpPr>
        <xdr:sp macro="" textlink="">
          <xdr:nvSpPr>
            <xdr:cNvPr id="4" name="Rectangle 3"/>
            <xdr:cNvSpPr/>
          </xdr:nvSpPr>
          <xdr:spPr>
            <a:xfrm>
              <a:off x="4019550" y="676275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[0]!fuel_tab" textlink="">
          <xdr:nvSpPr>
            <xdr:cNvPr id="11" name="TextBox 10"/>
            <xdr:cNvSpPr txBox="1"/>
          </xdr:nvSpPr>
          <xdr:spPr>
            <a:xfrm>
              <a:off x="4029076" y="790575"/>
              <a:ext cx="6953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algn="ctr"/>
              <a:r>
                <a:rPr lang="en-IN" sz="1100" b="1"/>
                <a:t>FUEL</a:t>
              </a:r>
            </a:p>
          </xdr:txBody>
        </xdr:sp>
      </xdr:grpSp>
      <xdr:grpSp>
        <xdr:nvGrpSpPr>
          <xdr:cNvPr id="17" name="Group 16"/>
          <xdr:cNvGrpSpPr/>
        </xdr:nvGrpSpPr>
        <xdr:grpSpPr>
          <a:xfrm>
            <a:off x="6010276" y="704850"/>
            <a:ext cx="819150" cy="476250"/>
            <a:chOff x="4800600" y="676275"/>
            <a:chExt cx="752474" cy="476250"/>
          </a:xfrm>
        </xdr:grpSpPr>
        <xdr:sp macro="[0]!reminder_tab" textlink="">
          <xdr:nvSpPr>
            <xdr:cNvPr id="5" name="Rectangle 4"/>
            <xdr:cNvSpPr/>
          </xdr:nvSpPr>
          <xdr:spPr>
            <a:xfrm>
              <a:off x="4800600" y="676275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[0]!reminder_tab" textlink="">
          <xdr:nvSpPr>
            <xdr:cNvPr id="12" name="TextBox 11"/>
            <xdr:cNvSpPr txBox="1"/>
          </xdr:nvSpPr>
          <xdr:spPr>
            <a:xfrm>
              <a:off x="4810125" y="828675"/>
              <a:ext cx="742949" cy="217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800" b="1"/>
                <a:t>REMINDERS</a:t>
              </a:r>
            </a:p>
          </xdr:txBody>
        </xdr:sp>
      </xdr:grpSp>
      <xdr:grpSp>
        <xdr:nvGrpSpPr>
          <xdr:cNvPr id="18" name="Group 17"/>
          <xdr:cNvGrpSpPr/>
        </xdr:nvGrpSpPr>
        <xdr:grpSpPr>
          <a:xfrm>
            <a:off x="6886576" y="704850"/>
            <a:ext cx="838199" cy="476250"/>
            <a:chOff x="5667375" y="685800"/>
            <a:chExt cx="714375" cy="476250"/>
          </a:xfrm>
        </xdr:grpSpPr>
        <xdr:sp macro="[0]!meterTrackTab" textlink="">
          <xdr:nvSpPr>
            <xdr:cNvPr id="6" name="Rectangle 5"/>
            <xdr:cNvSpPr/>
          </xdr:nvSpPr>
          <xdr:spPr>
            <a:xfrm>
              <a:off x="5667375" y="685800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[0]!meterTrackTab" textlink="">
          <xdr:nvSpPr>
            <xdr:cNvPr id="13" name="TextBox 12"/>
            <xdr:cNvSpPr txBox="1"/>
          </xdr:nvSpPr>
          <xdr:spPr>
            <a:xfrm>
              <a:off x="5686426" y="800100"/>
              <a:ext cx="6953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1100" b="1"/>
                <a:t>METER</a:t>
              </a:r>
            </a:p>
          </xdr:txBody>
        </xdr:sp>
      </xdr:grpSp>
      <xdr:grpSp>
        <xdr:nvGrpSpPr>
          <xdr:cNvPr id="19" name="Group 18"/>
          <xdr:cNvGrpSpPr/>
        </xdr:nvGrpSpPr>
        <xdr:grpSpPr>
          <a:xfrm>
            <a:off x="7772400" y="704850"/>
            <a:ext cx="914401" cy="476250"/>
            <a:chOff x="6505575" y="695325"/>
            <a:chExt cx="761999" cy="476250"/>
          </a:xfrm>
        </xdr:grpSpPr>
        <xdr:sp macro="[0]!dashtab" textlink="">
          <xdr:nvSpPr>
            <xdr:cNvPr id="7" name="Rectangle 6"/>
            <xdr:cNvSpPr/>
          </xdr:nvSpPr>
          <xdr:spPr>
            <a:xfrm>
              <a:off x="6543675" y="695325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[0]!dashtab" textlink="">
          <xdr:nvSpPr>
            <xdr:cNvPr id="14" name="TextBox 13"/>
            <xdr:cNvSpPr txBox="1"/>
          </xdr:nvSpPr>
          <xdr:spPr>
            <a:xfrm>
              <a:off x="6505575" y="838200"/>
              <a:ext cx="761999" cy="217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800" b="1"/>
                <a:t>DASHBOARD</a:t>
              </a:r>
            </a:p>
          </xdr:txBody>
        </xdr:sp>
      </xdr:grpSp>
    </xdr:grpSp>
    <xdr:clientData/>
  </xdr:twoCellAnchor>
  <xdr:twoCellAnchor>
    <xdr:from>
      <xdr:col>4</xdr:col>
      <xdr:colOff>270010</xdr:colOff>
      <xdr:row>3</xdr:row>
      <xdr:rowOff>97323</xdr:rowOff>
    </xdr:from>
    <xdr:to>
      <xdr:col>10</xdr:col>
      <xdr:colOff>581025</xdr:colOff>
      <xdr:row>13</xdr:row>
      <xdr:rowOff>171450</xdr:rowOff>
    </xdr:to>
    <xdr:grpSp>
      <xdr:nvGrpSpPr>
        <xdr:cNvPr id="31" name="VehGroup"/>
        <xdr:cNvGrpSpPr/>
      </xdr:nvGrpSpPr>
      <xdr:grpSpPr>
        <a:xfrm>
          <a:off x="3599619" y="1530214"/>
          <a:ext cx="5777536" cy="2128214"/>
          <a:chOff x="3431784" y="1526149"/>
          <a:chExt cx="5797942" cy="2131451"/>
        </a:xfrm>
      </xdr:grpSpPr>
      <xdr:sp macro="[0]!Sheet1.veh_add_pic" textlink="">
        <xdr:nvSpPr>
          <xdr:cNvPr id="21" name="Rectangle 20"/>
          <xdr:cNvSpPr/>
        </xdr:nvSpPr>
        <xdr:spPr>
          <a:xfrm>
            <a:off x="7734300" y="3314699"/>
            <a:ext cx="714375" cy="342901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>
                <a:solidFill>
                  <a:schemeClr val="tx1"/>
                </a:solidFill>
              </a:rPr>
              <a:t>Add</a:t>
            </a:r>
            <a:r>
              <a:rPr lang="en-IN" sz="1100" b="1" baseline="0">
                <a:solidFill>
                  <a:schemeClr val="tx1"/>
                </a:solidFill>
              </a:rPr>
              <a:t> Pic</a:t>
            </a:r>
            <a:endParaRPr lang="en-IN" sz="1100" b="1">
              <a:solidFill>
                <a:schemeClr val="tx1"/>
              </a:solidFill>
            </a:endParaRPr>
          </a:p>
        </xdr:txBody>
      </xdr:sp>
      <xdr:sp macro="[0]!add_a_new_car" textlink="">
        <xdr:nvSpPr>
          <xdr:cNvPr id="23" name="addveh"/>
          <xdr:cNvSpPr/>
        </xdr:nvSpPr>
        <xdr:spPr>
          <a:xfrm>
            <a:off x="3431784" y="1526149"/>
            <a:ext cx="1009650" cy="24765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>
                <a:solidFill>
                  <a:schemeClr val="tx1"/>
                </a:solidFill>
              </a:rPr>
              <a:t>Add</a:t>
            </a:r>
            <a:r>
              <a:rPr lang="en-IN" sz="1100" b="1" baseline="0">
                <a:solidFill>
                  <a:schemeClr val="tx1"/>
                </a:solidFill>
              </a:rPr>
              <a:t> Vehicle</a:t>
            </a:r>
            <a:endParaRPr lang="en-IN" sz="1100" b="1">
              <a:solidFill>
                <a:schemeClr val="tx1"/>
              </a:solidFill>
            </a:endParaRPr>
          </a:p>
        </xdr:txBody>
      </xdr:sp>
      <xdr:sp macro="[0]!Sheet1.clear_veh_pic" textlink="">
        <xdr:nvSpPr>
          <xdr:cNvPr id="22" name="Rectangle 21"/>
          <xdr:cNvSpPr/>
        </xdr:nvSpPr>
        <xdr:spPr>
          <a:xfrm>
            <a:off x="8467726" y="3314699"/>
            <a:ext cx="762000" cy="342901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>
                <a:solidFill>
                  <a:schemeClr val="tx1"/>
                </a:solidFill>
              </a:rPr>
              <a:t>Clear</a:t>
            </a:r>
          </a:p>
        </xdr:txBody>
      </xdr:sp>
    </xdr:grpSp>
    <xdr:clientData/>
  </xdr:twoCellAnchor>
  <xdr:twoCellAnchor>
    <xdr:from>
      <xdr:col>3</xdr:col>
      <xdr:colOff>200025</xdr:colOff>
      <xdr:row>29</xdr:row>
      <xdr:rowOff>133350</xdr:rowOff>
    </xdr:from>
    <xdr:to>
      <xdr:col>3</xdr:col>
      <xdr:colOff>1133475</xdr:colOff>
      <xdr:row>30</xdr:row>
      <xdr:rowOff>133351</xdr:rowOff>
    </xdr:to>
    <xdr:sp macro="[0]!fuel_save" textlink="">
      <xdr:nvSpPr>
        <xdr:cNvPr id="25" name="SaveFuel" hidden="1"/>
        <xdr:cNvSpPr/>
      </xdr:nvSpPr>
      <xdr:spPr>
        <a:xfrm>
          <a:off x="2028825" y="6915150"/>
          <a:ext cx="933450" cy="3429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Save</a:t>
          </a:r>
          <a:r>
            <a:rPr lang="en-IN" sz="1100" b="1" baseline="0">
              <a:solidFill>
                <a:schemeClr val="tx1"/>
              </a:solidFill>
            </a:rPr>
            <a:t> Fuel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742950</xdr:colOff>
      <xdr:row>59</xdr:row>
      <xdr:rowOff>104775</xdr:rowOff>
    </xdr:from>
    <xdr:to>
      <xdr:col>4</xdr:col>
      <xdr:colOff>828675</xdr:colOff>
      <xdr:row>88</xdr:row>
      <xdr:rowOff>142876</xdr:rowOff>
    </xdr:to>
    <xdr:sp macro="[0]!meter_save" textlink="">
      <xdr:nvSpPr>
        <xdr:cNvPr id="27" name="SaveMeterTracking" hidden="1"/>
        <xdr:cNvSpPr/>
      </xdr:nvSpPr>
      <xdr:spPr>
        <a:xfrm>
          <a:off x="2571750" y="12944475"/>
          <a:ext cx="1409700" cy="3429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Save</a:t>
          </a:r>
          <a:r>
            <a:rPr lang="en-IN" sz="1100" b="1" baseline="0">
              <a:solidFill>
                <a:schemeClr val="tx1"/>
              </a:solidFill>
            </a:rPr>
            <a:t> Meter Tracking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238125</xdr:colOff>
      <xdr:row>16</xdr:row>
      <xdr:rowOff>76200</xdr:rowOff>
    </xdr:from>
    <xdr:to>
      <xdr:col>4</xdr:col>
      <xdr:colOff>76200</xdr:colOff>
      <xdr:row>17</xdr:row>
      <xdr:rowOff>76201</xdr:rowOff>
    </xdr:to>
    <xdr:sp macro="[0]!expense_save" textlink="">
      <xdr:nvSpPr>
        <xdr:cNvPr id="28" name="SaveExpenses" hidden="1"/>
        <xdr:cNvSpPr/>
      </xdr:nvSpPr>
      <xdr:spPr>
        <a:xfrm>
          <a:off x="2066925" y="4143375"/>
          <a:ext cx="1162050" cy="3429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Save Expenses</a:t>
          </a:r>
        </a:p>
      </xdr:txBody>
    </xdr:sp>
    <xdr:clientData/>
  </xdr:twoCellAnchor>
  <xdr:twoCellAnchor>
    <xdr:from>
      <xdr:col>4</xdr:col>
      <xdr:colOff>19049</xdr:colOff>
      <xdr:row>42</xdr:row>
      <xdr:rowOff>104775</xdr:rowOff>
    </xdr:from>
    <xdr:to>
      <xdr:col>11</xdr:col>
      <xdr:colOff>66675</xdr:colOff>
      <xdr:row>43</xdr:row>
      <xdr:rowOff>152401</xdr:rowOff>
    </xdr:to>
    <xdr:grpSp>
      <xdr:nvGrpSpPr>
        <xdr:cNvPr id="32" name="ReminderGrp" hidden="1"/>
        <xdr:cNvGrpSpPr/>
      </xdr:nvGrpSpPr>
      <xdr:grpSpPr>
        <a:xfrm>
          <a:off x="3348658" y="1537666"/>
          <a:ext cx="6127060" cy="387213"/>
          <a:chOff x="3171824" y="9525000"/>
          <a:chExt cx="6143626" cy="390526"/>
        </a:xfrm>
      </xdr:grpSpPr>
      <xdr:sp macro="[0]!reminder_save" textlink="">
        <xdr:nvSpPr>
          <xdr:cNvPr id="26" name="Rectangle 25" hidden="1"/>
          <xdr:cNvSpPr/>
        </xdr:nvSpPr>
        <xdr:spPr>
          <a:xfrm>
            <a:off x="3171824" y="9572625"/>
            <a:ext cx="1114425" cy="34290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>
                <a:solidFill>
                  <a:schemeClr val="tx1"/>
                </a:solidFill>
              </a:rPr>
              <a:t>Save</a:t>
            </a:r>
            <a:r>
              <a:rPr lang="en-IN" sz="1100" b="1" baseline="0">
                <a:solidFill>
                  <a:schemeClr val="tx1"/>
                </a:solidFill>
              </a:rPr>
              <a:t> Reminder</a:t>
            </a:r>
            <a:endParaRPr lang="en-IN" sz="1100" b="1">
              <a:solidFill>
                <a:schemeClr val="tx1"/>
              </a:solidFill>
            </a:endParaRPr>
          </a:p>
        </xdr:txBody>
      </xdr:sp>
      <xdr:sp macro="[0]!checkForReminders" textlink="">
        <xdr:nvSpPr>
          <xdr:cNvPr id="29" name="Rectangle 28" hidden="1"/>
          <xdr:cNvSpPr/>
        </xdr:nvSpPr>
        <xdr:spPr>
          <a:xfrm>
            <a:off x="8048626" y="9525000"/>
            <a:ext cx="1266824" cy="342901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IN" sz="1100" b="1" baseline="0">
                <a:solidFill>
                  <a:schemeClr val="tx1"/>
                </a:solidFill>
              </a:rPr>
              <a:t>Check Reminder</a:t>
            </a:r>
            <a:endParaRPr lang="en-IN" sz="1100" b="1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14</xdr:col>
      <xdr:colOff>9525</xdr:colOff>
      <xdr:row>1</xdr:row>
      <xdr:rowOff>47625</xdr:rowOff>
    </xdr:from>
    <xdr:to>
      <xdr:col>15</xdr:col>
      <xdr:colOff>0</xdr:colOff>
      <xdr:row>1</xdr:row>
      <xdr:rowOff>657225</xdr:rowOff>
    </xdr:to>
    <xdr:sp macro="[0]!show_all" textlink="">
      <xdr:nvSpPr>
        <xdr:cNvPr id="33" name="Rectangle 32"/>
        <xdr:cNvSpPr/>
      </xdr:nvSpPr>
      <xdr:spPr>
        <a:xfrm>
          <a:off x="11087100" y="590550"/>
          <a:ext cx="600075" cy="6096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Show</a:t>
          </a:r>
        </a:p>
      </xdr:txBody>
    </xdr:sp>
    <xdr:clientData/>
  </xdr:twoCellAnchor>
  <xdr:twoCellAnchor>
    <xdr:from>
      <xdr:col>13</xdr:col>
      <xdr:colOff>600903</xdr:colOff>
      <xdr:row>3</xdr:row>
      <xdr:rowOff>9525</xdr:rowOff>
    </xdr:from>
    <xdr:to>
      <xdr:col>14</xdr:col>
      <xdr:colOff>591378</xdr:colOff>
      <xdr:row>5</xdr:row>
      <xdr:rowOff>89038</xdr:rowOff>
    </xdr:to>
    <xdr:sp macro="[0]!announce_empty_row_at_D" textlink="">
      <xdr:nvSpPr>
        <xdr:cNvPr id="34" name="Rectangle 33"/>
        <xdr:cNvSpPr/>
      </xdr:nvSpPr>
      <xdr:spPr>
        <a:xfrm>
          <a:off x="11235773" y="1442416"/>
          <a:ext cx="603388" cy="6096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x</a:t>
          </a:r>
        </a:p>
      </xdr:txBody>
    </xdr:sp>
    <xdr:clientData/>
  </xdr:twoCellAnchor>
  <xdr:twoCellAnchor>
    <xdr:from>
      <xdr:col>8</xdr:col>
      <xdr:colOff>108917</xdr:colOff>
      <xdr:row>3</xdr:row>
      <xdr:rowOff>85312</xdr:rowOff>
    </xdr:from>
    <xdr:to>
      <xdr:col>9</xdr:col>
      <xdr:colOff>204168</xdr:colOff>
      <xdr:row>3</xdr:row>
      <xdr:rowOff>332962</xdr:rowOff>
    </xdr:to>
    <xdr:sp macro="[0]!loadCarsFromDB" textlink="">
      <xdr:nvSpPr>
        <xdr:cNvPr id="86" name="SaveVeh"/>
        <xdr:cNvSpPr/>
      </xdr:nvSpPr>
      <xdr:spPr>
        <a:xfrm>
          <a:off x="7082874" y="1518203"/>
          <a:ext cx="1006337" cy="2476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Reload</a:t>
          </a:r>
          <a:r>
            <a:rPr lang="en-IN" sz="1100" b="1" baseline="0">
              <a:solidFill>
                <a:schemeClr val="tx1"/>
              </a:solidFill>
            </a:rPr>
            <a:t> Cars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254000</xdr:colOff>
      <xdr:row>7</xdr:row>
      <xdr:rowOff>0</xdr:rowOff>
    </xdr:from>
    <xdr:to>
      <xdr:col>10</xdr:col>
      <xdr:colOff>466878</xdr:colOff>
      <xdr:row>10</xdr:row>
      <xdr:rowOff>63500</xdr:rowOff>
    </xdr:to>
    <xdr:pic>
      <xdr:nvPicPr>
        <xdr:cNvPr id="88" name="VehPic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0225" y="2343150"/>
          <a:ext cx="1127278" cy="635000"/>
        </a:xfrm>
        <a:prstGeom prst="rect">
          <a:avLst/>
        </a:prstGeom>
      </xdr:spPr>
    </xdr:pic>
    <xdr:clientData/>
  </xdr:twoCellAnchor>
  <xdr:twoCellAnchor>
    <xdr:from>
      <xdr:col>3</xdr:col>
      <xdr:colOff>16566</xdr:colOff>
      <xdr:row>76</xdr:row>
      <xdr:rowOff>57978</xdr:rowOff>
    </xdr:from>
    <xdr:to>
      <xdr:col>6</xdr:col>
      <xdr:colOff>91109</xdr:colOff>
      <xdr:row>86</xdr:row>
      <xdr:rowOff>141631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182217</xdr:colOff>
      <xdr:row>76</xdr:row>
      <xdr:rowOff>82826</xdr:rowOff>
    </xdr:from>
    <xdr:to>
      <xdr:col>11</xdr:col>
      <xdr:colOff>496957</xdr:colOff>
      <xdr:row>86</xdr:row>
      <xdr:rowOff>115957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7"/>
  <sheetViews>
    <sheetView tabSelected="1" zoomScale="115" zoomScaleNormal="115" workbookViewId="0">
      <selection activeCell="F76" sqref="F76"/>
    </sheetView>
  </sheetViews>
  <sheetFormatPr defaultRowHeight="15" x14ac:dyDescent="0.25"/>
  <cols>
    <col min="1" max="1" width="11.7109375" bestFit="1" customWidth="1"/>
    <col min="4" max="4" width="19.85546875" customWidth="1"/>
    <col min="5" max="10" width="13.7109375" customWidth="1"/>
    <col min="15" max="15" width="14.85546875" customWidth="1"/>
  </cols>
  <sheetData>
    <row r="1" spans="1:21" ht="42.75" customHeight="1" x14ac:dyDescent="0.45">
      <c r="A1" s="1"/>
      <c r="B1" s="1"/>
      <c r="C1" s="2"/>
      <c r="D1" s="2"/>
      <c r="E1" s="81" t="s">
        <v>12</v>
      </c>
      <c r="F1" s="81"/>
      <c r="G1" s="81"/>
      <c r="H1" s="81"/>
      <c r="I1" s="81"/>
      <c r="J1" s="81"/>
      <c r="K1" s="81"/>
      <c r="L1" s="2"/>
      <c r="M1" s="2"/>
    </row>
    <row r="2" spans="1:21" ht="54" customHeight="1" x14ac:dyDescent="0.25">
      <c r="A2" s="1"/>
      <c r="B2" s="1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Q2" s="12"/>
    </row>
    <row r="3" spans="1:21" ht="15.75" thickBot="1" x14ac:dyDescent="0.3">
      <c r="A3" s="60" t="s">
        <v>13</v>
      </c>
      <c r="B3" s="61">
        <v>5</v>
      </c>
      <c r="C3" s="3"/>
      <c r="D3" s="10"/>
      <c r="E3" s="10"/>
      <c r="F3" s="10"/>
      <c r="G3" s="10"/>
      <c r="H3" s="10"/>
      <c r="I3" s="10"/>
      <c r="J3" s="10"/>
      <c r="K3" s="10"/>
      <c r="L3" s="10"/>
      <c r="M3" s="3"/>
    </row>
    <row r="4" spans="1:21" ht="27" thickTop="1" x14ac:dyDescent="0.4">
      <c r="A4" s="60" t="s">
        <v>118</v>
      </c>
      <c r="B4" s="62">
        <f ca="1">IFERROR(MATCH(F6,Vehicles,0)+3,"")</f>
        <v>7</v>
      </c>
      <c r="C4" s="3"/>
      <c r="D4" s="4"/>
      <c r="E4" s="80" t="s">
        <v>0</v>
      </c>
      <c r="F4" s="83"/>
      <c r="G4" s="80"/>
      <c r="H4" s="80"/>
      <c r="I4" s="80"/>
      <c r="J4" s="80"/>
      <c r="K4" s="80"/>
      <c r="L4" s="5"/>
      <c r="M4" s="3"/>
    </row>
    <row r="5" spans="1:21" x14ac:dyDescent="0.25">
      <c r="A5" s="60" t="s">
        <v>119</v>
      </c>
      <c r="B5" s="61" t="b">
        <v>0</v>
      </c>
      <c r="C5" s="3"/>
      <c r="D5" s="23" t="s">
        <v>121</v>
      </c>
      <c r="E5" s="7"/>
      <c r="F5" s="7"/>
      <c r="G5" s="7"/>
      <c r="H5" s="7"/>
      <c r="I5" s="7"/>
      <c r="J5" s="7"/>
      <c r="K5" s="7"/>
      <c r="L5" s="8"/>
      <c r="M5" s="3"/>
    </row>
    <row r="6" spans="1:21" x14ac:dyDescent="0.25">
      <c r="A6" s="60" t="s">
        <v>14</v>
      </c>
      <c r="B6" s="61">
        <v>9</v>
      </c>
      <c r="C6" s="3"/>
      <c r="D6" s="20" t="s">
        <v>1</v>
      </c>
      <c r="E6" s="13" t="s">
        <v>15</v>
      </c>
      <c r="F6" s="20" t="s">
        <v>4</v>
      </c>
      <c r="G6" s="13" t="s">
        <v>19</v>
      </c>
      <c r="H6" s="20">
        <v>457874</v>
      </c>
      <c r="I6" s="7"/>
      <c r="J6" s="93" t="s">
        <v>22</v>
      </c>
      <c r="K6" s="94"/>
      <c r="L6" s="8"/>
      <c r="M6" s="3"/>
      <c r="P6" s="63" t="s">
        <v>15</v>
      </c>
      <c r="Q6" s="64">
        <v>1</v>
      </c>
      <c r="R6" s="63" t="s">
        <v>19</v>
      </c>
      <c r="S6" s="64">
        <v>2</v>
      </c>
    </row>
    <row r="7" spans="1:21" x14ac:dyDescent="0.25">
      <c r="A7" s="1" t="s">
        <v>120</v>
      </c>
      <c r="B7" s="1" t="b">
        <v>0</v>
      </c>
      <c r="C7" s="3"/>
      <c r="D7" s="28" t="s">
        <v>2</v>
      </c>
      <c r="E7" s="7"/>
      <c r="F7" s="7"/>
      <c r="G7" s="7"/>
      <c r="H7" s="7"/>
      <c r="I7" s="7"/>
      <c r="J7" s="18"/>
      <c r="K7" s="19"/>
      <c r="L7" s="8"/>
      <c r="M7" s="3"/>
      <c r="P7" s="65"/>
      <c r="Q7" s="65"/>
      <c r="R7" s="65"/>
      <c r="S7" s="65"/>
    </row>
    <row r="8" spans="1:21" x14ac:dyDescent="0.25">
      <c r="A8" s="1"/>
      <c r="B8" s="1"/>
      <c r="C8" s="3"/>
      <c r="D8" s="26" t="s">
        <v>3</v>
      </c>
      <c r="E8" s="13" t="s">
        <v>16</v>
      </c>
      <c r="F8" s="20" t="s">
        <v>40</v>
      </c>
      <c r="G8" s="13" t="s">
        <v>20</v>
      </c>
      <c r="H8" s="20" t="s">
        <v>40</v>
      </c>
      <c r="I8" s="7"/>
      <c r="J8" s="14"/>
      <c r="K8" s="15"/>
      <c r="L8" s="8"/>
      <c r="M8" s="3"/>
      <c r="P8" s="63" t="s">
        <v>16</v>
      </c>
      <c r="Q8" s="64">
        <v>3</v>
      </c>
      <c r="R8" s="63" t="s">
        <v>20</v>
      </c>
      <c r="S8" s="64">
        <v>4</v>
      </c>
    </row>
    <row r="9" spans="1:21" x14ac:dyDescent="0.25">
      <c r="A9" s="1"/>
      <c r="B9" s="1"/>
      <c r="C9" s="3"/>
      <c r="D9" s="28" t="s">
        <v>4</v>
      </c>
      <c r="E9" s="7"/>
      <c r="F9" s="7"/>
      <c r="G9" s="7"/>
      <c r="H9" s="7"/>
      <c r="I9" s="7"/>
      <c r="J9" s="14"/>
      <c r="K9" s="15"/>
      <c r="L9" s="8"/>
      <c r="M9" s="3"/>
      <c r="P9" s="65"/>
      <c r="Q9" s="65"/>
      <c r="R9" s="65"/>
      <c r="S9" s="65"/>
    </row>
    <row r="10" spans="1:21" x14ac:dyDescent="0.25">
      <c r="A10" s="1"/>
      <c r="B10" s="1"/>
      <c r="C10" s="3"/>
      <c r="D10" s="26" t="s">
        <v>5</v>
      </c>
      <c r="E10" s="13" t="s">
        <v>17</v>
      </c>
      <c r="F10" s="20" t="s">
        <v>142</v>
      </c>
      <c r="G10" s="13" t="s">
        <v>21</v>
      </c>
      <c r="H10" s="20">
        <v>4</v>
      </c>
      <c r="I10" s="7"/>
      <c r="J10" s="14"/>
      <c r="K10" s="15"/>
      <c r="L10" s="8"/>
      <c r="M10" s="3"/>
      <c r="P10" s="63" t="s">
        <v>17</v>
      </c>
      <c r="Q10" s="64">
        <v>5</v>
      </c>
      <c r="R10" s="63" t="s">
        <v>21</v>
      </c>
      <c r="S10" s="64">
        <v>6</v>
      </c>
    </row>
    <row r="11" spans="1:21" x14ac:dyDescent="0.25">
      <c r="A11" s="1"/>
      <c r="B11" s="1"/>
      <c r="C11" s="3"/>
      <c r="D11" s="28" t="s">
        <v>6</v>
      </c>
      <c r="E11" s="7"/>
      <c r="F11" s="7"/>
      <c r="G11" s="7"/>
      <c r="H11" s="7"/>
      <c r="I11" s="7"/>
      <c r="J11" s="14"/>
      <c r="K11" s="15"/>
      <c r="L11" s="8"/>
      <c r="M11" s="3"/>
      <c r="P11" s="65"/>
      <c r="Q11" s="65"/>
      <c r="R11" s="65"/>
      <c r="S11" s="65"/>
    </row>
    <row r="12" spans="1:21" x14ac:dyDescent="0.25">
      <c r="A12" s="1"/>
      <c r="B12" s="1"/>
      <c r="C12" s="3"/>
      <c r="D12" t="s">
        <v>127</v>
      </c>
      <c r="E12" s="13" t="s">
        <v>18</v>
      </c>
      <c r="F12" s="84" t="s">
        <v>42</v>
      </c>
      <c r="G12" s="85"/>
      <c r="H12" s="86"/>
      <c r="I12" s="7"/>
      <c r="J12" s="16"/>
      <c r="K12" s="17"/>
      <c r="L12" s="8"/>
      <c r="M12" s="3"/>
      <c r="P12" s="63" t="s">
        <v>18</v>
      </c>
      <c r="Q12" s="66">
        <v>7</v>
      </c>
      <c r="R12" s="67"/>
      <c r="S12" s="68"/>
    </row>
    <row r="13" spans="1:21" x14ac:dyDescent="0.25">
      <c r="A13" s="1"/>
      <c r="B13" s="1"/>
      <c r="C13" s="3"/>
      <c r="D13" t="s">
        <v>132</v>
      </c>
      <c r="E13" s="7"/>
      <c r="F13" s="87"/>
      <c r="G13" s="88"/>
      <c r="H13" s="89"/>
      <c r="I13" s="7"/>
      <c r="J13" s="14" t="s">
        <v>141</v>
      </c>
      <c r="K13" s="15"/>
      <c r="L13" s="8"/>
      <c r="M13" s="3"/>
      <c r="P13" s="65"/>
      <c r="Q13" s="69"/>
      <c r="R13" s="70"/>
      <c r="S13" s="71"/>
      <c r="U13">
        <v>8</v>
      </c>
    </row>
    <row r="14" spans="1:21" x14ac:dyDescent="0.25">
      <c r="A14" s="1"/>
      <c r="B14" s="1"/>
      <c r="C14" s="3"/>
      <c r="E14" s="7"/>
      <c r="F14" s="87"/>
      <c r="G14" s="88"/>
      <c r="H14" s="89"/>
      <c r="I14" s="7"/>
      <c r="J14" s="16"/>
      <c r="K14" s="17"/>
      <c r="L14" s="8"/>
      <c r="M14" s="3"/>
      <c r="P14" s="65"/>
      <c r="Q14" s="69"/>
      <c r="R14" s="70"/>
      <c r="S14" s="71"/>
    </row>
    <row r="15" spans="1:21" x14ac:dyDescent="0.25">
      <c r="A15" s="1"/>
      <c r="B15" s="1"/>
      <c r="C15" s="3"/>
      <c r="E15" s="7"/>
      <c r="F15" s="90"/>
      <c r="G15" s="91"/>
      <c r="H15" s="92"/>
      <c r="I15" s="7"/>
      <c r="J15" s="7"/>
      <c r="K15" s="7"/>
      <c r="L15" s="8"/>
      <c r="M15" s="3"/>
      <c r="P15" s="65"/>
      <c r="Q15" s="72"/>
      <c r="R15" s="73"/>
      <c r="S15" s="74"/>
    </row>
    <row r="16" spans="1:21" ht="15.75" thickBot="1" x14ac:dyDescent="0.3">
      <c r="A16" s="1"/>
      <c r="B16" s="1"/>
      <c r="C16" s="3"/>
      <c r="D16" s="10"/>
      <c r="E16" s="10"/>
      <c r="F16" s="10"/>
      <c r="G16" s="10"/>
      <c r="H16" s="10"/>
      <c r="I16" s="10"/>
      <c r="J16" s="10"/>
      <c r="K16" s="10"/>
      <c r="L16" s="11"/>
      <c r="M16" s="3"/>
    </row>
    <row r="17" spans="1:20" ht="27" hidden="1" thickTop="1" x14ac:dyDescent="0.4">
      <c r="A17" s="1"/>
      <c r="B17" s="1"/>
      <c r="C17" s="3"/>
      <c r="D17" s="4"/>
      <c r="E17" s="80" t="s">
        <v>7</v>
      </c>
      <c r="F17" s="80"/>
      <c r="G17" s="80"/>
      <c r="H17" s="80"/>
      <c r="I17" s="80"/>
      <c r="J17" s="80"/>
      <c r="K17" s="80"/>
      <c r="L17" s="5"/>
      <c r="M17" s="3"/>
    </row>
    <row r="18" spans="1:20" hidden="1" x14ac:dyDescent="0.25">
      <c r="A18" s="1"/>
      <c r="B18" s="1"/>
      <c r="C18" s="3"/>
      <c r="D18" s="6"/>
      <c r="E18" s="7"/>
      <c r="F18" s="7"/>
      <c r="G18" s="7"/>
      <c r="H18" s="7"/>
      <c r="I18" s="7"/>
      <c r="J18" s="7"/>
      <c r="K18" s="7"/>
      <c r="L18" s="8"/>
      <c r="M18" s="3"/>
      <c r="O18" t="s">
        <v>15</v>
      </c>
      <c r="P18">
        <v>1</v>
      </c>
      <c r="Q18" t="s">
        <v>129</v>
      </c>
      <c r="R18">
        <v>2</v>
      </c>
    </row>
    <row r="19" spans="1:20" hidden="1" x14ac:dyDescent="0.25">
      <c r="A19" s="1" t="s">
        <v>55</v>
      </c>
      <c r="B19" s="1"/>
      <c r="C19" s="3"/>
      <c r="D19" s="6"/>
      <c r="E19" s="43" t="s">
        <v>101</v>
      </c>
      <c r="F19" s="44"/>
      <c r="G19" s="43" t="s">
        <v>103</v>
      </c>
      <c r="H19" s="75"/>
      <c r="I19" s="43" t="s">
        <v>105</v>
      </c>
      <c r="J19" s="44"/>
      <c r="K19" s="7"/>
      <c r="L19" s="8"/>
      <c r="M19" s="3"/>
    </row>
    <row r="20" spans="1:20" ht="15.75" hidden="1" thickBot="1" x14ac:dyDescent="0.3">
      <c r="A20" s="1" t="s">
        <v>58</v>
      </c>
      <c r="B20" s="1"/>
      <c r="C20" s="3"/>
      <c r="D20" s="6"/>
      <c r="E20" s="7"/>
      <c r="F20" s="7"/>
      <c r="G20" s="7"/>
      <c r="H20" s="7"/>
      <c r="I20" s="7"/>
      <c r="J20" s="7"/>
      <c r="K20" s="7"/>
      <c r="L20" s="8"/>
      <c r="M20" s="3"/>
      <c r="O20" t="s">
        <v>16</v>
      </c>
      <c r="P20">
        <v>3</v>
      </c>
      <c r="Q20" t="s">
        <v>34</v>
      </c>
      <c r="R20">
        <v>4</v>
      </c>
    </row>
    <row r="21" spans="1:20" ht="16.5" hidden="1" thickTop="1" thickBot="1" x14ac:dyDescent="0.3">
      <c r="A21" s="1" t="s">
        <v>59</v>
      </c>
      <c r="B21" s="1"/>
      <c r="C21" s="3"/>
      <c r="D21" s="6"/>
      <c r="E21" s="43" t="s">
        <v>102</v>
      </c>
      <c r="F21" s="44"/>
      <c r="G21" s="43" t="s">
        <v>104</v>
      </c>
      <c r="H21" s="104"/>
      <c r="I21" s="105"/>
      <c r="J21" s="106"/>
      <c r="K21" s="7"/>
      <c r="L21" s="8"/>
      <c r="M21" s="3"/>
    </row>
    <row r="22" spans="1:20" ht="16.5" hidden="1" thickTop="1" thickBot="1" x14ac:dyDescent="0.3">
      <c r="A22" s="1" t="s">
        <v>60</v>
      </c>
      <c r="B22" s="1"/>
      <c r="C22" s="3"/>
      <c r="D22" s="6"/>
      <c r="E22" s="7"/>
      <c r="F22" s="7"/>
      <c r="G22" s="7"/>
      <c r="H22" s="7"/>
      <c r="I22" s="7"/>
      <c r="J22" s="7"/>
      <c r="K22" s="7"/>
      <c r="L22" s="8"/>
      <c r="M22" s="3"/>
      <c r="O22" t="s">
        <v>17</v>
      </c>
      <c r="P22">
        <v>5</v>
      </c>
      <c r="Q22" t="s">
        <v>36</v>
      </c>
      <c r="R22">
        <v>6</v>
      </c>
    </row>
    <row r="23" spans="1:20" ht="15.75" hidden="1" thickTop="1" x14ac:dyDescent="0.25">
      <c r="A23" s="1" t="s">
        <v>61</v>
      </c>
      <c r="B23" s="1"/>
      <c r="C23" s="3"/>
      <c r="D23" s="6"/>
      <c r="E23" s="43" t="s">
        <v>18</v>
      </c>
      <c r="F23" s="95"/>
      <c r="G23" s="96"/>
      <c r="H23" s="96"/>
      <c r="I23" s="96"/>
      <c r="J23" s="97"/>
      <c r="K23" s="7"/>
      <c r="L23" s="8"/>
      <c r="M23" s="3"/>
    </row>
    <row r="24" spans="1:20" hidden="1" x14ac:dyDescent="0.25">
      <c r="A24" s="1" t="s">
        <v>143</v>
      </c>
      <c r="B24" s="1"/>
      <c r="C24" s="3"/>
      <c r="D24" s="6"/>
      <c r="E24" s="7"/>
      <c r="F24" s="98"/>
      <c r="G24" s="99"/>
      <c r="H24" s="99"/>
      <c r="I24" s="99"/>
      <c r="J24" s="100"/>
      <c r="K24" s="7"/>
      <c r="L24" s="8"/>
      <c r="M24" s="3"/>
      <c r="O24" t="s">
        <v>18</v>
      </c>
      <c r="P24">
        <v>7</v>
      </c>
      <c r="S24" t="s">
        <v>38</v>
      </c>
      <c r="T24">
        <v>8</v>
      </c>
    </row>
    <row r="25" spans="1:20" hidden="1" x14ac:dyDescent="0.25">
      <c r="A25" s="1"/>
      <c r="B25" s="1"/>
      <c r="C25" s="3"/>
      <c r="D25" s="6"/>
      <c r="E25" s="7"/>
      <c r="F25" s="98"/>
      <c r="G25" s="99"/>
      <c r="H25" s="99"/>
      <c r="I25" s="99"/>
      <c r="J25" s="100"/>
      <c r="K25" s="7"/>
      <c r="L25" s="8"/>
      <c r="M25" s="3"/>
    </row>
    <row r="26" spans="1:20" hidden="1" x14ac:dyDescent="0.25">
      <c r="A26" s="1"/>
      <c r="B26" s="1"/>
      <c r="C26" s="3"/>
      <c r="D26" s="6"/>
      <c r="E26" s="7"/>
      <c r="F26" s="98"/>
      <c r="G26" s="99"/>
      <c r="H26" s="99"/>
      <c r="I26" s="99"/>
      <c r="J26" s="100"/>
      <c r="K26" s="7"/>
      <c r="L26" s="8"/>
      <c r="M26" s="3"/>
    </row>
    <row r="27" spans="1:20" hidden="1" x14ac:dyDescent="0.25">
      <c r="A27" s="1"/>
      <c r="B27" s="1"/>
      <c r="C27" s="3"/>
      <c r="D27" s="6"/>
      <c r="E27" s="7"/>
      <c r="F27" s="98"/>
      <c r="G27" s="99"/>
      <c r="H27" s="99"/>
      <c r="I27" s="99"/>
      <c r="J27" s="100"/>
      <c r="K27" s="7"/>
      <c r="L27" s="8"/>
      <c r="M27" s="3"/>
    </row>
    <row r="28" spans="1:20" ht="15.75" hidden="1" thickBot="1" x14ac:dyDescent="0.3">
      <c r="A28" s="1"/>
      <c r="B28" s="1"/>
      <c r="C28" s="3"/>
      <c r="D28" s="6"/>
      <c r="E28" s="7"/>
      <c r="F28" s="101"/>
      <c r="G28" s="102"/>
      <c r="H28" s="102"/>
      <c r="I28" s="102"/>
      <c r="J28" s="103"/>
      <c r="K28" s="7"/>
      <c r="L28" s="8"/>
      <c r="M28" s="3"/>
    </row>
    <row r="29" spans="1:20" ht="16.5" hidden="1" thickTop="1" thickBot="1" x14ac:dyDescent="0.3">
      <c r="A29" s="1"/>
      <c r="B29" s="1"/>
      <c r="C29" s="3"/>
      <c r="D29" s="9"/>
      <c r="E29" s="10"/>
      <c r="F29" s="10"/>
      <c r="G29" s="10"/>
      <c r="H29" s="10"/>
      <c r="I29" s="10"/>
      <c r="J29" s="10"/>
      <c r="K29" s="10"/>
      <c r="L29" s="11"/>
      <c r="M29" s="3"/>
    </row>
    <row r="30" spans="1:20" ht="27" hidden="1" thickTop="1" x14ac:dyDescent="0.4">
      <c r="A30" s="1"/>
      <c r="B30" s="1"/>
      <c r="C30" s="3"/>
      <c r="D30" s="4"/>
      <c r="E30" s="80" t="s">
        <v>8</v>
      </c>
      <c r="F30" s="80"/>
      <c r="G30" s="80"/>
      <c r="H30" s="80"/>
      <c r="I30" s="80"/>
      <c r="J30" s="80"/>
      <c r="K30" s="80"/>
      <c r="L30" s="5"/>
      <c r="M30" s="3"/>
    </row>
    <row r="31" spans="1:20" hidden="1" x14ac:dyDescent="0.25">
      <c r="A31" s="1"/>
      <c r="B31" s="1"/>
      <c r="C31" s="3"/>
      <c r="D31" s="6"/>
      <c r="E31" s="7"/>
      <c r="F31" s="7"/>
      <c r="G31" s="7"/>
      <c r="H31" s="7"/>
      <c r="I31" s="7"/>
      <c r="J31" s="7"/>
      <c r="K31" s="7"/>
      <c r="L31" s="8"/>
      <c r="M31" s="3"/>
    </row>
    <row r="32" spans="1:20" hidden="1" x14ac:dyDescent="0.25">
      <c r="A32" s="1"/>
      <c r="B32" s="1"/>
      <c r="C32" s="3"/>
      <c r="D32" s="6"/>
      <c r="E32" s="43" t="s">
        <v>101</v>
      </c>
      <c r="F32" s="44"/>
      <c r="G32" s="43" t="s">
        <v>103</v>
      </c>
      <c r="H32" s="45"/>
      <c r="I32" s="43" t="s">
        <v>105</v>
      </c>
      <c r="J32" s="44"/>
      <c r="K32" s="7"/>
      <c r="L32" s="8"/>
      <c r="M32" s="3"/>
    </row>
    <row r="33" spans="1:13" hidden="1" x14ac:dyDescent="0.25">
      <c r="A33" s="1"/>
      <c r="B33" s="1"/>
      <c r="C33" s="3"/>
      <c r="D33" s="6"/>
      <c r="E33" s="43"/>
      <c r="F33" s="46"/>
      <c r="G33" s="46"/>
      <c r="H33" s="46"/>
      <c r="I33" s="43"/>
      <c r="J33" s="46"/>
      <c r="K33" s="7"/>
      <c r="L33" s="8"/>
      <c r="M33" s="3"/>
    </row>
    <row r="34" spans="1:13" hidden="1" x14ac:dyDescent="0.25">
      <c r="A34" s="1"/>
      <c r="B34" s="1"/>
      <c r="C34" s="3"/>
      <c r="D34" s="6"/>
      <c r="E34" s="43" t="s">
        <v>106</v>
      </c>
      <c r="F34" s="44"/>
      <c r="G34" s="43" t="s">
        <v>107</v>
      </c>
      <c r="H34" s="44"/>
      <c r="I34" s="43" t="s">
        <v>108</v>
      </c>
      <c r="J34" s="44"/>
      <c r="K34" s="7"/>
      <c r="L34" s="8"/>
      <c r="M34" s="3"/>
    </row>
    <row r="35" spans="1:13" hidden="1" x14ac:dyDescent="0.25">
      <c r="A35" s="1"/>
      <c r="B35" s="1"/>
      <c r="C35" s="3"/>
      <c r="D35" s="6"/>
      <c r="E35" s="46"/>
      <c r="F35" s="46"/>
      <c r="G35" s="46"/>
      <c r="H35" s="46"/>
      <c r="I35" s="46"/>
      <c r="J35" s="46"/>
      <c r="K35" s="7"/>
      <c r="L35" s="8"/>
      <c r="M35" s="3"/>
    </row>
    <row r="36" spans="1:13" hidden="1" x14ac:dyDescent="0.25">
      <c r="A36" s="1"/>
      <c r="B36" s="1"/>
      <c r="C36" s="3"/>
      <c r="D36" s="6"/>
      <c r="E36" s="46" t="s">
        <v>18</v>
      </c>
      <c r="F36" s="107"/>
      <c r="G36" s="108"/>
      <c r="H36" s="108"/>
      <c r="I36" s="108"/>
      <c r="J36" s="109"/>
      <c r="K36" s="7"/>
      <c r="L36" s="8"/>
      <c r="M36" s="3"/>
    </row>
    <row r="37" spans="1:13" hidden="1" x14ac:dyDescent="0.25">
      <c r="A37" s="1"/>
      <c r="B37" s="1"/>
      <c r="C37" s="3"/>
      <c r="D37" s="6"/>
      <c r="E37" s="46"/>
      <c r="F37" s="110"/>
      <c r="G37" s="111"/>
      <c r="H37" s="111"/>
      <c r="I37" s="111"/>
      <c r="J37" s="112"/>
      <c r="K37" s="7"/>
      <c r="L37" s="8"/>
      <c r="M37" s="3"/>
    </row>
    <row r="38" spans="1:13" hidden="1" x14ac:dyDescent="0.25">
      <c r="A38" s="1"/>
      <c r="B38" s="1"/>
      <c r="C38" s="3"/>
      <c r="D38" s="6"/>
      <c r="E38" s="46"/>
      <c r="F38" s="110"/>
      <c r="G38" s="111"/>
      <c r="H38" s="111"/>
      <c r="I38" s="111"/>
      <c r="J38" s="112"/>
      <c r="K38" s="7"/>
      <c r="L38" s="8"/>
      <c r="M38" s="3"/>
    </row>
    <row r="39" spans="1:13" hidden="1" x14ac:dyDescent="0.25">
      <c r="A39" s="1"/>
      <c r="B39" s="1"/>
      <c r="C39" s="3"/>
      <c r="D39" s="6"/>
      <c r="E39" s="46"/>
      <c r="F39" s="110"/>
      <c r="G39" s="111"/>
      <c r="H39" s="111"/>
      <c r="I39" s="111"/>
      <c r="J39" s="112"/>
      <c r="K39" s="7"/>
      <c r="L39" s="8"/>
      <c r="M39" s="3"/>
    </row>
    <row r="40" spans="1:13" hidden="1" x14ac:dyDescent="0.25">
      <c r="A40" s="1"/>
      <c r="B40" s="1"/>
      <c r="C40" s="3"/>
      <c r="D40" s="6"/>
      <c r="E40" s="46"/>
      <c r="F40" s="110"/>
      <c r="G40" s="111"/>
      <c r="H40" s="111"/>
      <c r="I40" s="111"/>
      <c r="J40" s="112"/>
      <c r="K40" s="7"/>
      <c r="L40" s="8"/>
      <c r="M40" s="3"/>
    </row>
    <row r="41" spans="1:13" hidden="1" x14ac:dyDescent="0.25">
      <c r="A41" s="1"/>
      <c r="B41" s="1"/>
      <c r="C41" s="3"/>
      <c r="D41" s="6"/>
      <c r="E41" s="46"/>
      <c r="F41" s="113"/>
      <c r="G41" s="114"/>
      <c r="H41" s="114"/>
      <c r="I41" s="114"/>
      <c r="J41" s="115"/>
      <c r="K41" s="7"/>
      <c r="L41" s="8"/>
      <c r="M41" s="3"/>
    </row>
    <row r="42" spans="1:13" ht="15.75" hidden="1" thickBot="1" x14ac:dyDescent="0.3">
      <c r="A42" s="1"/>
      <c r="B42" s="1"/>
      <c r="C42" s="3"/>
      <c r="D42" s="9"/>
      <c r="E42" s="10"/>
      <c r="F42" s="10"/>
      <c r="G42" s="10"/>
      <c r="H42" s="10"/>
      <c r="I42" s="10"/>
      <c r="J42" s="10"/>
      <c r="K42" s="10"/>
      <c r="L42" s="11"/>
      <c r="M42" s="3"/>
    </row>
    <row r="43" spans="1:13" ht="27" hidden="1" thickTop="1" x14ac:dyDescent="0.4">
      <c r="A43" s="1"/>
      <c r="B43" s="1"/>
      <c r="C43" s="3"/>
      <c r="D43" s="4"/>
      <c r="E43" s="80" t="s">
        <v>9</v>
      </c>
      <c r="F43" s="80"/>
      <c r="G43" s="80"/>
      <c r="H43" s="80"/>
      <c r="I43" s="80"/>
      <c r="J43" s="80"/>
      <c r="K43" s="80"/>
      <c r="L43" s="5"/>
      <c r="M43" s="3"/>
    </row>
    <row r="44" spans="1:13" hidden="1" x14ac:dyDescent="0.25">
      <c r="A44" s="1"/>
      <c r="B44" s="1"/>
      <c r="C44" s="3"/>
      <c r="D44" s="6"/>
      <c r="E44" s="7"/>
      <c r="F44" s="7"/>
      <c r="G44" s="7"/>
      <c r="H44" s="7"/>
      <c r="I44" s="7"/>
      <c r="J44" s="7"/>
      <c r="K44" s="7"/>
      <c r="L44" s="8"/>
      <c r="M44" s="3"/>
    </row>
    <row r="45" spans="1:13" hidden="1" x14ac:dyDescent="0.25">
      <c r="A45" s="1"/>
      <c r="B45" s="1"/>
      <c r="C45" s="3"/>
      <c r="D45" s="6"/>
      <c r="E45" s="43" t="s">
        <v>101</v>
      </c>
      <c r="F45" s="44"/>
      <c r="G45" s="43" t="s">
        <v>15</v>
      </c>
      <c r="H45" s="45"/>
      <c r="I45" s="43" t="s">
        <v>109</v>
      </c>
      <c r="J45" s="75"/>
      <c r="K45" s="7"/>
      <c r="L45" s="8"/>
      <c r="M45" s="3"/>
    </row>
    <row r="46" spans="1:13" hidden="1" x14ac:dyDescent="0.25">
      <c r="A46" s="1"/>
      <c r="B46" s="1"/>
      <c r="C46" s="3"/>
      <c r="D46" s="6"/>
      <c r="E46" s="43"/>
      <c r="F46" s="46"/>
      <c r="G46" s="46"/>
      <c r="H46" s="46"/>
      <c r="I46" s="43"/>
      <c r="J46" s="46"/>
      <c r="K46" s="7"/>
      <c r="L46" s="8"/>
      <c r="M46" s="3"/>
    </row>
    <row r="47" spans="1:13" hidden="1" x14ac:dyDescent="0.25">
      <c r="A47" s="1"/>
      <c r="B47" s="1"/>
      <c r="C47" s="3"/>
      <c r="D47" s="6"/>
      <c r="E47" s="43" t="s">
        <v>110</v>
      </c>
      <c r="F47" s="44"/>
      <c r="G47" s="47" t="s">
        <v>111</v>
      </c>
      <c r="H47" s="47"/>
      <c r="I47" s="43" t="s">
        <v>112</v>
      </c>
      <c r="J47" s="44"/>
      <c r="K47" s="7"/>
      <c r="L47" s="8"/>
      <c r="M47" s="3"/>
    </row>
    <row r="48" spans="1:13" ht="15.75" hidden="1" thickBot="1" x14ac:dyDescent="0.3">
      <c r="A48" s="1"/>
      <c r="B48" s="1"/>
      <c r="C48" s="3"/>
      <c r="D48" s="6"/>
      <c r="E48" s="7"/>
      <c r="F48" s="7"/>
      <c r="G48" s="7"/>
      <c r="H48" s="7"/>
      <c r="I48" s="7"/>
      <c r="J48" s="7"/>
      <c r="K48" s="7"/>
      <c r="L48" s="8"/>
      <c r="M48" s="3"/>
    </row>
    <row r="49" spans="1:13" ht="15.75" hidden="1" thickTop="1" x14ac:dyDescent="0.25">
      <c r="A49" s="1"/>
      <c r="B49" s="1"/>
      <c r="C49" s="3"/>
      <c r="D49" s="6"/>
      <c r="E49" s="48" t="s">
        <v>50</v>
      </c>
      <c r="F49" s="49" t="s">
        <v>32</v>
      </c>
      <c r="G49" s="49" t="s">
        <v>78</v>
      </c>
      <c r="H49" s="49" t="s">
        <v>113</v>
      </c>
      <c r="I49" s="49" t="s">
        <v>114</v>
      </c>
      <c r="J49" s="50" t="s">
        <v>80</v>
      </c>
      <c r="K49" s="7"/>
      <c r="L49" s="8"/>
      <c r="M49" s="3"/>
    </row>
    <row r="50" spans="1:13" hidden="1" x14ac:dyDescent="0.25">
      <c r="A50" s="1"/>
      <c r="B50" s="1"/>
      <c r="C50" s="3"/>
      <c r="D50" s="6"/>
      <c r="E50" s="51"/>
      <c r="F50" s="55"/>
      <c r="G50" s="78"/>
      <c r="H50" s="55"/>
      <c r="I50" s="55"/>
      <c r="J50" s="77"/>
      <c r="K50" s="7"/>
      <c r="L50" s="8"/>
      <c r="M50" s="3"/>
    </row>
    <row r="51" spans="1:13" hidden="1" x14ac:dyDescent="0.25">
      <c r="A51" s="1"/>
      <c r="B51" s="1"/>
      <c r="C51" s="3"/>
      <c r="D51" s="6"/>
      <c r="E51" s="51"/>
      <c r="F51" s="56"/>
      <c r="G51" s="76"/>
      <c r="H51" s="56"/>
      <c r="I51" s="56"/>
      <c r="J51" s="77"/>
      <c r="K51" s="7"/>
      <c r="L51" s="8"/>
      <c r="M51" s="3"/>
    </row>
    <row r="52" spans="1:13" hidden="1" x14ac:dyDescent="0.25">
      <c r="A52" s="1"/>
      <c r="B52" s="1"/>
      <c r="C52" s="3"/>
      <c r="D52" s="6"/>
      <c r="E52" s="51"/>
      <c r="F52" s="56"/>
      <c r="G52" s="76"/>
      <c r="H52" s="56"/>
      <c r="I52" s="56"/>
      <c r="J52" s="77"/>
      <c r="K52" s="7"/>
      <c r="L52" s="8"/>
      <c r="M52" s="3"/>
    </row>
    <row r="53" spans="1:13" hidden="1" x14ac:dyDescent="0.25">
      <c r="A53" s="1"/>
      <c r="B53" s="1"/>
      <c r="C53" s="3"/>
      <c r="D53" s="6"/>
      <c r="E53" s="51"/>
      <c r="F53" s="56"/>
      <c r="G53" s="76"/>
      <c r="H53" s="56"/>
      <c r="I53" s="56"/>
      <c r="J53" s="77"/>
      <c r="K53" s="7"/>
      <c r="L53" s="8"/>
      <c r="M53" s="3"/>
    </row>
    <row r="54" spans="1:13" hidden="1" x14ac:dyDescent="0.25">
      <c r="A54" s="1"/>
      <c r="B54" s="1"/>
      <c r="C54" s="3"/>
      <c r="D54" s="6"/>
      <c r="E54" s="51"/>
      <c r="F54" s="56"/>
      <c r="G54" s="76"/>
      <c r="H54" s="56"/>
      <c r="I54" s="56"/>
      <c r="J54" s="52"/>
      <c r="K54" s="7"/>
      <c r="L54" s="8"/>
      <c r="M54" s="3"/>
    </row>
    <row r="55" spans="1:13" hidden="1" x14ac:dyDescent="0.25">
      <c r="A55" s="1"/>
      <c r="B55" s="1"/>
      <c r="C55" s="3"/>
      <c r="D55" s="6"/>
      <c r="E55" s="51"/>
      <c r="F55" s="56"/>
      <c r="G55" s="76"/>
      <c r="H55" s="56"/>
      <c r="I55" s="56"/>
      <c r="J55" s="52"/>
      <c r="K55" s="7"/>
      <c r="L55" s="8"/>
      <c r="M55" s="3"/>
    </row>
    <row r="56" spans="1:13" hidden="1" x14ac:dyDescent="0.25">
      <c r="A56" s="1"/>
      <c r="B56" s="1"/>
      <c r="C56" s="3"/>
      <c r="D56" s="6"/>
      <c r="E56" s="51"/>
      <c r="F56" s="56"/>
      <c r="G56" s="76"/>
      <c r="H56" s="56"/>
      <c r="I56" s="56"/>
      <c r="J56" s="52"/>
      <c r="K56" s="7"/>
      <c r="L56" s="8"/>
      <c r="M56" s="3"/>
    </row>
    <row r="57" spans="1:13" hidden="1" x14ac:dyDescent="0.25">
      <c r="A57" s="1"/>
      <c r="B57" s="1"/>
      <c r="C57" s="3"/>
      <c r="D57" s="6"/>
      <c r="E57" s="51"/>
      <c r="F57" s="56"/>
      <c r="G57" s="56"/>
      <c r="H57" s="56"/>
      <c r="I57" s="56"/>
      <c r="J57" s="52"/>
      <c r="K57" s="7"/>
      <c r="L57" s="8"/>
      <c r="M57" s="3"/>
    </row>
    <row r="58" spans="1:13" hidden="1" x14ac:dyDescent="0.25">
      <c r="A58" s="1"/>
      <c r="B58" s="1"/>
      <c r="C58" s="3"/>
      <c r="D58" s="6"/>
      <c r="E58" s="51"/>
      <c r="F58" s="56"/>
      <c r="G58" s="56"/>
      <c r="H58" s="56"/>
      <c r="I58" s="56"/>
      <c r="J58" s="52"/>
      <c r="K58" s="7"/>
      <c r="L58" s="8"/>
      <c r="M58" s="3"/>
    </row>
    <row r="59" spans="1:13" ht="15.75" hidden="1" thickBot="1" x14ac:dyDescent="0.3">
      <c r="A59" s="1"/>
      <c r="B59" s="1"/>
      <c r="C59" s="3"/>
      <c r="D59" s="9"/>
      <c r="E59" s="53"/>
      <c r="F59" s="57"/>
      <c r="G59" s="57"/>
      <c r="H59" s="57"/>
      <c r="I59" s="57"/>
      <c r="J59" s="54"/>
      <c r="K59" s="10"/>
      <c r="L59" s="11"/>
      <c r="M59" s="3"/>
    </row>
    <row r="60" spans="1:13" ht="27" hidden="1" thickTop="1" x14ac:dyDescent="0.4">
      <c r="A60" s="1"/>
      <c r="B60" s="1"/>
      <c r="C60" s="3"/>
      <c r="D60" s="4"/>
      <c r="E60" s="83" t="s">
        <v>10</v>
      </c>
      <c r="F60" s="83"/>
      <c r="G60" s="83"/>
      <c r="H60" s="83"/>
      <c r="I60" s="83"/>
      <c r="J60" s="83"/>
      <c r="K60" s="80"/>
      <c r="L60" s="5"/>
      <c r="M60" s="3"/>
    </row>
    <row r="61" spans="1:13" hidden="1" x14ac:dyDescent="0.25">
      <c r="A61" s="1"/>
      <c r="B61" s="1"/>
      <c r="C61" s="3"/>
      <c r="D61" s="6"/>
      <c r="E61" s="7"/>
      <c r="F61" s="7"/>
      <c r="G61" s="7"/>
      <c r="H61" s="7"/>
      <c r="I61" s="7"/>
      <c r="J61" s="7"/>
      <c r="K61" s="7"/>
      <c r="L61" s="8"/>
      <c r="M61" s="3"/>
    </row>
    <row r="62" spans="1:13" hidden="1" x14ac:dyDescent="0.25">
      <c r="A62" s="1"/>
      <c r="B62" s="1"/>
      <c r="C62" s="3"/>
      <c r="D62" s="6"/>
      <c r="E62" s="7"/>
      <c r="F62" s="7"/>
      <c r="G62" s="7"/>
      <c r="H62" s="7"/>
      <c r="I62" s="7"/>
      <c r="J62" s="7"/>
      <c r="K62" s="7"/>
      <c r="L62" s="8"/>
      <c r="M62" s="3"/>
    </row>
    <row r="63" spans="1:13" hidden="1" x14ac:dyDescent="0.25">
      <c r="A63" s="1"/>
      <c r="B63" s="1"/>
      <c r="C63" s="3"/>
      <c r="D63" s="6"/>
      <c r="E63" s="43" t="s">
        <v>101</v>
      </c>
      <c r="F63" s="58"/>
      <c r="G63" s="43" t="s">
        <v>17</v>
      </c>
      <c r="H63" s="59"/>
      <c r="I63" s="43" t="s">
        <v>103</v>
      </c>
      <c r="J63" s="79"/>
      <c r="K63" s="7"/>
      <c r="L63" s="8"/>
      <c r="M63" s="3"/>
    </row>
    <row r="64" spans="1:13" hidden="1" x14ac:dyDescent="0.25">
      <c r="A64" s="1"/>
      <c r="B64" s="1"/>
      <c r="C64" s="3"/>
      <c r="D64" s="6"/>
      <c r="E64" s="43"/>
      <c r="F64" s="46"/>
      <c r="G64" s="46"/>
      <c r="H64" s="46"/>
      <c r="I64" s="43"/>
      <c r="J64" s="46"/>
      <c r="K64" s="7"/>
      <c r="L64" s="8"/>
      <c r="M64" s="3"/>
    </row>
    <row r="65" spans="1:19" hidden="1" x14ac:dyDescent="0.25">
      <c r="A65" s="1"/>
      <c r="B65" s="1"/>
      <c r="C65" s="3"/>
      <c r="D65" s="6"/>
      <c r="E65" s="43" t="s">
        <v>115</v>
      </c>
      <c r="F65" s="44"/>
      <c r="G65" s="47"/>
      <c r="H65" s="47"/>
      <c r="I65" s="43" t="s">
        <v>112</v>
      </c>
      <c r="J65" s="44"/>
      <c r="K65" s="7"/>
      <c r="L65" s="8"/>
      <c r="M65" s="3"/>
    </row>
    <row r="66" spans="1:19" hidden="1" x14ac:dyDescent="0.25">
      <c r="A66" s="1"/>
      <c r="B66" s="1"/>
      <c r="C66" s="3"/>
      <c r="D66" s="6"/>
      <c r="E66" s="7"/>
      <c r="F66" s="7"/>
      <c r="G66" s="7"/>
      <c r="H66" s="7"/>
      <c r="I66" s="7"/>
      <c r="J66" s="7"/>
      <c r="K66" s="7"/>
      <c r="L66" s="8"/>
      <c r="M66" s="3"/>
    </row>
    <row r="67" spans="1:19" hidden="1" x14ac:dyDescent="0.25">
      <c r="A67" s="1"/>
      <c r="B67" s="1"/>
      <c r="C67" s="3"/>
      <c r="D67" s="6"/>
      <c r="E67" s="46" t="s">
        <v>18</v>
      </c>
      <c r="F67" s="107"/>
      <c r="G67" s="108"/>
      <c r="H67" s="108"/>
      <c r="I67" s="108"/>
      <c r="J67" s="109"/>
      <c r="K67" s="7"/>
      <c r="L67" s="8"/>
      <c r="M67" s="3"/>
    </row>
    <row r="68" spans="1:19" hidden="1" x14ac:dyDescent="0.25">
      <c r="A68" s="1"/>
      <c r="B68" s="1"/>
      <c r="C68" s="3"/>
      <c r="D68" s="6"/>
      <c r="E68" s="46"/>
      <c r="F68" s="110"/>
      <c r="G68" s="111"/>
      <c r="H68" s="111"/>
      <c r="I68" s="111"/>
      <c r="J68" s="112"/>
      <c r="K68" s="7"/>
      <c r="L68" s="8"/>
      <c r="M68" s="3"/>
    </row>
    <row r="69" spans="1:19" hidden="1" x14ac:dyDescent="0.25">
      <c r="A69" s="1"/>
      <c r="B69" s="1"/>
      <c r="C69" s="3"/>
      <c r="D69" s="6"/>
      <c r="E69" s="46"/>
      <c r="F69" s="110"/>
      <c r="G69" s="111"/>
      <c r="H69" s="111"/>
      <c r="I69" s="111"/>
      <c r="J69" s="112"/>
      <c r="K69" s="7"/>
      <c r="L69" s="8"/>
      <c r="M69" s="3"/>
    </row>
    <row r="70" spans="1:19" hidden="1" x14ac:dyDescent="0.25">
      <c r="A70" s="1"/>
      <c r="B70" s="1"/>
      <c r="C70" s="3"/>
      <c r="D70" s="6"/>
      <c r="E70" s="46"/>
      <c r="F70" s="110"/>
      <c r="G70" s="111"/>
      <c r="H70" s="111"/>
      <c r="I70" s="111"/>
      <c r="J70" s="112"/>
      <c r="K70" s="7"/>
      <c r="L70" s="8"/>
      <c r="M70" s="3"/>
    </row>
    <row r="71" spans="1:19" hidden="1" x14ac:dyDescent="0.25">
      <c r="A71" s="1"/>
      <c r="B71" s="1"/>
      <c r="C71" s="3"/>
      <c r="D71" s="6"/>
      <c r="E71" s="46"/>
      <c r="F71" s="110"/>
      <c r="G71" s="111"/>
      <c r="H71" s="111"/>
      <c r="I71" s="111"/>
      <c r="J71" s="112"/>
      <c r="K71" s="7"/>
      <c r="L71" s="8"/>
      <c r="M71" s="3"/>
    </row>
    <row r="72" spans="1:19" hidden="1" x14ac:dyDescent="0.25">
      <c r="A72" s="1"/>
      <c r="B72" s="1"/>
      <c r="C72" s="3"/>
      <c r="D72" s="6"/>
      <c r="E72" s="46"/>
      <c r="F72" s="110"/>
      <c r="G72" s="111"/>
      <c r="H72" s="111"/>
      <c r="I72" s="111"/>
      <c r="J72" s="112"/>
      <c r="K72" s="7"/>
      <c r="L72" s="8"/>
      <c r="M72" s="3"/>
    </row>
    <row r="73" spans="1:19" hidden="1" x14ac:dyDescent="0.25">
      <c r="A73" s="1"/>
      <c r="B73" s="1"/>
      <c r="C73" s="3"/>
      <c r="D73" s="6"/>
      <c r="E73" s="46"/>
      <c r="F73" s="110"/>
      <c r="G73" s="111"/>
      <c r="H73" s="111"/>
      <c r="I73" s="111"/>
      <c r="J73" s="112"/>
      <c r="K73" s="7"/>
      <c r="L73" s="8"/>
      <c r="M73" s="3"/>
    </row>
    <row r="74" spans="1:19" ht="15.75" hidden="1" thickBot="1" x14ac:dyDescent="0.3">
      <c r="A74" s="1"/>
      <c r="B74" s="1"/>
      <c r="C74" s="3"/>
      <c r="D74" s="9"/>
      <c r="E74" s="46"/>
      <c r="F74" s="113"/>
      <c r="G74" s="114"/>
      <c r="H74" s="114"/>
      <c r="I74" s="114"/>
      <c r="J74" s="115"/>
      <c r="K74" s="10"/>
      <c r="L74" s="11"/>
      <c r="M74" s="3"/>
    </row>
    <row r="75" spans="1:19" ht="27" hidden="1" thickTop="1" x14ac:dyDescent="0.4">
      <c r="A75" s="1"/>
      <c r="B75" s="1"/>
      <c r="C75" s="3"/>
      <c r="D75" s="4"/>
      <c r="E75" s="80" t="s">
        <v>11</v>
      </c>
      <c r="F75" s="80"/>
      <c r="G75" s="80"/>
      <c r="H75" s="80"/>
      <c r="I75" s="80"/>
      <c r="J75" s="80"/>
      <c r="K75" s="80"/>
      <c r="L75" s="5"/>
      <c r="M75" s="3"/>
    </row>
    <row r="76" spans="1:19" hidden="1" x14ac:dyDescent="0.25">
      <c r="A76" s="1"/>
      <c r="B76" s="1"/>
      <c r="C76" s="3"/>
      <c r="D76" s="6"/>
      <c r="E76" s="43" t="s">
        <v>101</v>
      </c>
      <c r="F76" s="58" t="s">
        <v>1</v>
      </c>
      <c r="G76" s="43" t="s">
        <v>116</v>
      </c>
      <c r="H76" s="79">
        <v>24858</v>
      </c>
      <c r="I76" s="43" t="s">
        <v>117</v>
      </c>
      <c r="J76" s="79">
        <v>44053</v>
      </c>
      <c r="K76" s="7"/>
      <c r="L76" s="8"/>
      <c r="M76" s="3"/>
    </row>
    <row r="77" spans="1:19" hidden="1" x14ac:dyDescent="0.25">
      <c r="A77" s="1"/>
      <c r="B77" s="1"/>
      <c r="C77" s="3"/>
      <c r="D77" s="6"/>
      <c r="E77" s="7"/>
      <c r="F77" s="7"/>
      <c r="G77" s="7"/>
      <c r="H77" s="7"/>
      <c r="I77" s="7"/>
      <c r="J77" s="7"/>
      <c r="K77" s="7"/>
      <c r="L77" s="8"/>
      <c r="M77" s="3"/>
      <c r="O77" t="s">
        <v>151</v>
      </c>
      <c r="R77" t="s">
        <v>152</v>
      </c>
    </row>
    <row r="78" spans="1:19" hidden="1" x14ac:dyDescent="0.25">
      <c r="A78" s="1"/>
      <c r="B78" s="1"/>
      <c r="C78" s="3"/>
      <c r="D78" s="6"/>
      <c r="E78" s="7"/>
      <c r="F78" s="7"/>
      <c r="G78" s="7"/>
      <c r="H78" s="7"/>
      <c r="I78" s="7"/>
      <c r="J78" s="7"/>
      <c r="K78" s="7"/>
      <c r="L78" s="8"/>
      <c r="M78" s="3"/>
      <c r="O78" s="1" t="s">
        <v>55</v>
      </c>
      <c r="P78">
        <f t="shared" ref="P78:P83" ca="1" si="0">SUMIFS(Exp_Amount,Exp_Date,"&gt;="&amp;$H$76,Exp_Date,"&lt;=" &amp; $J$76,Exp_Vehicle,$F$76,Exp_type,$O78)</f>
        <v>195</v>
      </c>
      <c r="Q78">
        <v>1</v>
      </c>
      <c r="R78" t="s">
        <v>153</v>
      </c>
      <c r="S78">
        <f ca="1">SUMIFS(Fuel_Amount,Fuel_Date,"&gt;=" &amp; DATE(YEAR(TODAY()),Q78,1),Fuel_Date,"&lt;=" &amp; EOMONTH(DATE(YEAR(TODAY()),Q78,1),0))</f>
        <v>443</v>
      </c>
    </row>
    <row r="79" spans="1:19" hidden="1" x14ac:dyDescent="0.25">
      <c r="A79" s="1"/>
      <c r="B79" s="1"/>
      <c r="C79" s="3"/>
      <c r="D79" s="6"/>
      <c r="E79" s="7"/>
      <c r="F79" s="7"/>
      <c r="G79" s="7"/>
      <c r="H79" s="7"/>
      <c r="I79" s="7"/>
      <c r="J79" s="7"/>
      <c r="K79" s="7"/>
      <c r="L79" s="8"/>
      <c r="M79" s="3"/>
      <c r="O79" s="1" t="s">
        <v>58</v>
      </c>
      <c r="P79">
        <f t="shared" ca="1" si="0"/>
        <v>0</v>
      </c>
      <c r="Q79">
        <v>2</v>
      </c>
      <c r="R79" t="s">
        <v>154</v>
      </c>
      <c r="S79">
        <f ca="1">SUMIFS(Fuel_Amount,Fuel_Date,"&gt;=" &amp; DATE(YEAR(TODAY()),Q79,1),Fuel_Date,"&lt;=" &amp; EOMONTH(DATE(YEAR(TODAY()),Q79,1),0))</f>
        <v>480</v>
      </c>
    </row>
    <row r="80" spans="1:19" hidden="1" x14ac:dyDescent="0.25">
      <c r="A80" s="1"/>
      <c r="B80" s="1"/>
      <c r="C80" s="3"/>
      <c r="D80" s="6"/>
      <c r="E80" s="7"/>
      <c r="F80" s="7"/>
      <c r="G80" s="7"/>
      <c r="H80" s="7"/>
      <c r="I80" s="7"/>
      <c r="J80" s="7"/>
      <c r="K80" s="7"/>
      <c r="L80" s="8"/>
      <c r="M80" s="3"/>
      <c r="O80" s="1" t="s">
        <v>59</v>
      </c>
      <c r="P80">
        <f t="shared" ca="1" si="0"/>
        <v>2380</v>
      </c>
      <c r="Q80">
        <v>3</v>
      </c>
      <c r="R80" t="s">
        <v>155</v>
      </c>
      <c r="S80">
        <f ca="1">SUMIFS(Fuel_Amount,Fuel_Date,"&gt;=" &amp; DATE(YEAR(TODAY()),Q80,1),Fuel_Date,"&lt;=" &amp; EOMONTH(DATE(YEAR(TODAY()),Q80,1),0))</f>
        <v>603</v>
      </c>
    </row>
    <row r="81" spans="1:19" hidden="1" x14ac:dyDescent="0.25">
      <c r="A81" s="1"/>
      <c r="B81" s="1"/>
      <c r="C81" s="3"/>
      <c r="D81" s="6"/>
      <c r="E81" s="7"/>
      <c r="F81" s="7"/>
      <c r="G81" s="7"/>
      <c r="H81" s="7"/>
      <c r="I81" s="7"/>
      <c r="J81" s="7"/>
      <c r="K81" s="7"/>
      <c r="L81" s="8"/>
      <c r="M81" s="3"/>
      <c r="O81" s="1" t="s">
        <v>60</v>
      </c>
      <c r="P81">
        <f t="shared" ca="1" si="0"/>
        <v>255</v>
      </c>
      <c r="Q81">
        <v>4</v>
      </c>
      <c r="R81" t="s">
        <v>156</v>
      </c>
      <c r="S81">
        <f ca="1">SUMIFS(Fuel_Amount,Fuel_Date,"&gt;=" &amp; DATE(YEAR(TODAY()),Q81,1),Fuel_Date,"&lt;=" &amp; EOMONTH(DATE(YEAR(TODAY()),Q81,1),0))</f>
        <v>509</v>
      </c>
    </row>
    <row r="82" spans="1:19" hidden="1" x14ac:dyDescent="0.25">
      <c r="A82" s="1"/>
      <c r="B82" s="1"/>
      <c r="C82" s="3"/>
      <c r="D82" s="6"/>
      <c r="E82" s="7"/>
      <c r="F82" s="7"/>
      <c r="G82" s="7"/>
      <c r="H82" s="7"/>
      <c r="I82" s="7"/>
      <c r="J82" s="7"/>
      <c r="K82" s="7"/>
      <c r="L82" s="8"/>
      <c r="M82" s="3"/>
      <c r="O82" s="1" t="s">
        <v>61</v>
      </c>
      <c r="P82">
        <f t="shared" ca="1" si="0"/>
        <v>1510</v>
      </c>
      <c r="Q82">
        <v>5</v>
      </c>
      <c r="R82" t="s">
        <v>157</v>
      </c>
      <c r="S82">
        <f ca="1">SUMIFS(Fuel_Amount,Fuel_Date,"&gt;=" &amp; DATE(YEAR(TODAY()),Q82,1),Fuel_Date,"&lt;=" &amp; EOMONTH(DATE(YEAR(TODAY()),Q82,1),0))</f>
        <v>580</v>
      </c>
    </row>
    <row r="83" spans="1:19" hidden="1" x14ac:dyDescent="0.25">
      <c r="A83" s="1"/>
      <c r="B83" s="1"/>
      <c r="C83" s="3"/>
      <c r="D83" s="6"/>
      <c r="E83" s="7"/>
      <c r="F83" s="7"/>
      <c r="G83" s="7"/>
      <c r="H83" s="7"/>
      <c r="I83" s="7"/>
      <c r="J83" s="7"/>
      <c r="K83" s="7"/>
      <c r="L83" s="8"/>
      <c r="M83" s="3"/>
      <c r="O83" s="1" t="s">
        <v>143</v>
      </c>
      <c r="P83">
        <f t="shared" ca="1" si="0"/>
        <v>1510</v>
      </c>
      <c r="Q83">
        <v>6</v>
      </c>
      <c r="R83" t="s">
        <v>158</v>
      </c>
      <c r="S83">
        <f ca="1">SUMIFS(Fuel_Amount,Fuel_Date,"&gt;=" &amp; DATE(YEAR(TODAY()),Q83,1),Fuel_Date,"&lt;=" &amp; EOMONTH(DATE(YEAR(TODAY()),Q83,1),0))</f>
        <v>505</v>
      </c>
    </row>
    <row r="84" spans="1:19" hidden="1" x14ac:dyDescent="0.25">
      <c r="A84" s="1"/>
      <c r="B84" s="1"/>
      <c r="C84" s="3"/>
      <c r="D84" s="6"/>
      <c r="E84" s="7"/>
      <c r="F84" s="7"/>
      <c r="G84" s="7"/>
      <c r="H84" s="7"/>
      <c r="I84" s="7"/>
      <c r="J84" s="7"/>
      <c r="K84" s="7"/>
      <c r="L84" s="8"/>
      <c r="M84" s="3"/>
      <c r="Q84">
        <v>7</v>
      </c>
      <c r="R84" t="s">
        <v>159</v>
      </c>
      <c r="S84">
        <f ca="1">SUMIFS(Fuel_Amount,Fuel_Date,"&gt;=" &amp; DATE(YEAR(TODAY()),Q84,1),Fuel_Date,"&lt;=" &amp; EOMONTH(DATE(YEAR(TODAY()),Q84,1),0))</f>
        <v>432</v>
      </c>
    </row>
    <row r="85" spans="1:19" hidden="1" x14ac:dyDescent="0.25">
      <c r="A85" s="1"/>
      <c r="B85" s="1"/>
      <c r="C85" s="3"/>
      <c r="D85" s="6"/>
      <c r="E85" s="7"/>
      <c r="F85" s="7"/>
      <c r="G85" s="7"/>
      <c r="H85" s="7"/>
      <c r="I85" s="7"/>
      <c r="J85" s="7"/>
      <c r="K85" s="7"/>
      <c r="L85" s="8"/>
      <c r="M85" s="3"/>
      <c r="Q85">
        <v>8</v>
      </c>
      <c r="R85" t="s">
        <v>160</v>
      </c>
      <c r="S85">
        <f ca="1">SUMIFS(Fuel_Amount,Fuel_Date,"&gt;=" &amp; DATE(YEAR(TODAY()),Q85,1),Fuel_Date,"&lt;=" &amp; EOMONTH(DATE(YEAR(TODAY()),Q85,1),0))</f>
        <v>432</v>
      </c>
    </row>
    <row r="86" spans="1:19" hidden="1" x14ac:dyDescent="0.25">
      <c r="A86" s="1"/>
      <c r="B86" s="1"/>
      <c r="C86" s="3"/>
      <c r="D86" s="6"/>
      <c r="E86" s="7"/>
      <c r="F86" s="7"/>
      <c r="G86" s="7"/>
      <c r="H86" s="7"/>
      <c r="I86" s="7"/>
      <c r="J86" s="7"/>
      <c r="K86" s="7"/>
      <c r="L86" s="8"/>
      <c r="M86" s="3"/>
      <c r="Q86">
        <v>9</v>
      </c>
      <c r="R86" t="s">
        <v>161</v>
      </c>
      <c r="S86">
        <f ca="1">SUMIFS(Fuel_Amount,Fuel_Date,"&gt;=" &amp; DATE(YEAR(TODAY()),Q86,1),Fuel_Date,"&lt;=" &amp; EOMONTH(DATE(YEAR(TODAY()),Q86,1),0))</f>
        <v>432</v>
      </c>
    </row>
    <row r="87" spans="1:19" ht="15.75" hidden="1" thickBot="1" x14ac:dyDescent="0.3">
      <c r="A87" s="1"/>
      <c r="B87" s="1"/>
      <c r="C87" s="3"/>
      <c r="D87" s="9"/>
      <c r="E87" s="10"/>
      <c r="F87" s="10"/>
      <c r="G87" s="10"/>
      <c r="H87" s="10"/>
      <c r="I87" s="10"/>
      <c r="J87" s="10"/>
      <c r="K87" s="10"/>
      <c r="L87" s="11"/>
      <c r="M87" s="3"/>
      <c r="Q87">
        <v>10</v>
      </c>
      <c r="R87" t="s">
        <v>162</v>
      </c>
      <c r="S87">
        <f ca="1">SUMIFS(Fuel_Amount,Fuel_Date,"&gt;=" &amp; DATE(YEAR(TODAY()),Q87,1),Fuel_Date,"&lt;=" &amp; EOMONTH(DATE(YEAR(TODAY()),Q87,1),0))</f>
        <v>1008</v>
      </c>
    </row>
    <row r="88" spans="1:19" ht="15.75" thickTop="1" x14ac:dyDescent="0.25">
      <c r="A88" s="1"/>
      <c r="B88" s="1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Q88">
        <v>11</v>
      </c>
      <c r="R88" t="s">
        <v>163</v>
      </c>
      <c r="S88">
        <f ca="1">SUMIFS(Fuel_Amount,Fuel_Date,"&gt;=" &amp; DATE(YEAR(TODAY()),Q88,1),Fuel_Date,"&lt;=" &amp; EOMONTH(DATE(YEAR(TODAY()),Q88,1),0))</f>
        <v>864</v>
      </c>
    </row>
    <row r="89" spans="1:19" x14ac:dyDescent="0.25">
      <c r="A89" s="1"/>
      <c r="B89" s="1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Q89">
        <v>12</v>
      </c>
      <c r="R89" t="s">
        <v>164</v>
      </c>
      <c r="S89">
        <f ca="1">SUMIFS(Fuel_Amount,Fuel_Date,"&gt;=" &amp; DATE(YEAR(TODAY()),Q89,1),Fuel_Date,"&lt;=" &amp; EOMONTH(DATE(YEAR(TODAY()),Q89,1),0))</f>
        <v>72</v>
      </c>
    </row>
    <row r="90" spans="1:19" x14ac:dyDescent="0.25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9" x14ac:dyDescent="0.25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9" x14ac:dyDescent="0.25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9" x14ac:dyDescent="0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9" x14ac:dyDescent="0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9" x14ac:dyDescent="0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9" x14ac:dyDescent="0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 x14ac:dyDescent="0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</sheetData>
  <mergeCells count="14">
    <mergeCell ref="E75:K75"/>
    <mergeCell ref="E1:K1"/>
    <mergeCell ref="C2:M2"/>
    <mergeCell ref="E4:K4"/>
    <mergeCell ref="E17:K17"/>
    <mergeCell ref="E30:K30"/>
    <mergeCell ref="E43:K43"/>
    <mergeCell ref="E60:K60"/>
    <mergeCell ref="F12:H15"/>
    <mergeCell ref="J6:K6"/>
    <mergeCell ref="F23:J28"/>
    <mergeCell ref="H21:J21"/>
    <mergeCell ref="F36:J41"/>
    <mergeCell ref="F67:J74"/>
  </mergeCells>
  <conditionalFormatting sqref="E3">
    <cfRule type="expression" dxfId="7" priority="8">
      <formula>$B$3=COLUMN()</formula>
    </cfRule>
  </conditionalFormatting>
  <conditionalFormatting sqref="F3:J3">
    <cfRule type="expression" dxfId="6" priority="7">
      <formula>$B$3=COLUMN()</formula>
    </cfRule>
  </conditionalFormatting>
  <conditionalFormatting sqref="D7:D15">
    <cfRule type="expression" dxfId="5" priority="6">
      <formula>$B$6=ROW()</formula>
    </cfRule>
  </conditionalFormatting>
  <conditionalFormatting sqref="E50:J59">
    <cfRule type="expression" dxfId="4" priority="5">
      <formula>MOD(ROW(),2)=0</formula>
    </cfRule>
  </conditionalFormatting>
  <conditionalFormatting sqref="H19 F19">
    <cfRule type="containsBlanks" dxfId="3" priority="4">
      <formula>LEN(TRIM(F19))=0</formula>
    </cfRule>
  </conditionalFormatting>
  <conditionalFormatting sqref="F32 H32 J32">
    <cfRule type="containsBlanks" dxfId="2" priority="3">
      <formula>LEN(TRIM(F32))=0</formula>
    </cfRule>
  </conditionalFormatting>
  <conditionalFormatting sqref="F45 H45 J45">
    <cfRule type="containsBlanks" dxfId="1" priority="2">
      <formula>LEN(TRIM(F45))=0</formula>
    </cfRule>
  </conditionalFormatting>
  <conditionalFormatting sqref="F63 H63 J63">
    <cfRule type="containsBlanks" dxfId="0" priority="1">
      <formula>LEN(TRIM(F63))=0</formula>
    </cfRule>
  </conditionalFormatting>
  <dataValidations count="5">
    <dataValidation type="list" allowBlank="1" showInputMessage="1" showErrorMessage="1" sqref="F19 F32 F45 F63 F76">
      <formula1>Vehicles</formula1>
    </dataValidation>
    <dataValidation type="list" allowBlank="1" showInputMessage="1" sqref="F6">
      <formula1>Vehicles</formula1>
    </dataValidation>
    <dataValidation allowBlank="1" showInputMessage="1" sqref="Q6"/>
    <dataValidation type="list" allowBlank="1" showInputMessage="1" showErrorMessage="1" sqref="F21">
      <formula1>ExpenseTypes</formula1>
    </dataValidation>
    <dataValidation type="list" allowBlank="1" showInputMessage="1" showErrorMessage="1" sqref="J47">
      <formula1>"Active,Inactive"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workbookViewId="0">
      <selection activeCell="A11" sqref="A11:XFD11"/>
    </sheetView>
  </sheetViews>
  <sheetFormatPr defaultRowHeight="15" x14ac:dyDescent="0.25"/>
  <cols>
    <col min="1" max="1" width="6.28515625" bestFit="1" customWidth="1"/>
    <col min="2" max="3" width="7" bestFit="1" customWidth="1"/>
    <col min="4" max="4" width="6.85546875" bestFit="1" customWidth="1"/>
    <col min="5" max="5" width="6.42578125" bestFit="1" customWidth="1"/>
    <col min="6" max="6" width="5.7109375" bestFit="1" customWidth="1"/>
    <col min="7" max="7" width="13.85546875" bestFit="1" customWidth="1"/>
    <col min="8" max="8" width="90.28515625" bestFit="1" customWidth="1"/>
  </cols>
  <sheetData>
    <row r="1" spans="1:8" x14ac:dyDescent="0.25">
      <c r="A1" s="21" t="s">
        <v>23</v>
      </c>
      <c r="B1" s="21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  <c r="H1" s="22" t="s">
        <v>30</v>
      </c>
    </row>
    <row r="2" spans="1:8" ht="18.75" x14ac:dyDescent="0.3">
      <c r="A2" s="116" t="s">
        <v>31</v>
      </c>
      <c r="B2" s="116"/>
      <c r="C2" s="116"/>
      <c r="D2" s="116"/>
      <c r="E2" s="116"/>
      <c r="F2" s="116"/>
      <c r="G2" s="116"/>
      <c r="H2" s="116"/>
    </row>
    <row r="3" spans="1:8" x14ac:dyDescent="0.25">
      <c r="A3" s="23" t="s">
        <v>32</v>
      </c>
      <c r="B3" s="24" t="s">
        <v>19</v>
      </c>
      <c r="C3" s="24" t="s">
        <v>33</v>
      </c>
      <c r="D3" s="24" t="s">
        <v>34</v>
      </c>
      <c r="E3" s="24" t="s">
        <v>35</v>
      </c>
      <c r="F3" s="24" t="s">
        <v>36</v>
      </c>
      <c r="G3" s="24" t="s">
        <v>37</v>
      </c>
      <c r="H3" s="25" t="s">
        <v>38</v>
      </c>
    </row>
    <row r="4" spans="1:8" x14ac:dyDescent="0.25">
      <c r="A4" s="26" t="s">
        <v>1</v>
      </c>
      <c r="B4" s="27">
        <v>457874</v>
      </c>
      <c r="C4" s="27" t="s">
        <v>139</v>
      </c>
      <c r="D4" s="27" t="s">
        <v>140</v>
      </c>
      <c r="E4" s="27" t="s">
        <v>41</v>
      </c>
      <c r="F4" s="27">
        <v>4</v>
      </c>
      <c r="G4" s="27" t="s">
        <v>42</v>
      </c>
      <c r="H4" t="s">
        <v>122</v>
      </c>
    </row>
    <row r="5" spans="1:8" x14ac:dyDescent="0.25">
      <c r="A5" s="28" t="s">
        <v>2</v>
      </c>
      <c r="B5">
        <v>45222</v>
      </c>
      <c r="C5" t="s">
        <v>131</v>
      </c>
      <c r="D5" t="s">
        <v>134</v>
      </c>
      <c r="E5" t="s">
        <v>135</v>
      </c>
      <c r="F5">
        <v>8</v>
      </c>
      <c r="G5" t="s">
        <v>136</v>
      </c>
      <c r="H5" t="s">
        <v>123</v>
      </c>
    </row>
    <row r="6" spans="1:8" x14ac:dyDescent="0.25">
      <c r="A6" s="26" t="s">
        <v>3</v>
      </c>
      <c r="B6">
        <v>457874</v>
      </c>
      <c r="C6" t="s">
        <v>39</v>
      </c>
      <c r="D6" t="s">
        <v>137</v>
      </c>
      <c r="E6" t="s">
        <v>41</v>
      </c>
      <c r="F6">
        <v>4</v>
      </c>
      <c r="G6" t="s">
        <v>138</v>
      </c>
      <c r="H6" t="s">
        <v>124</v>
      </c>
    </row>
    <row r="7" spans="1:8" x14ac:dyDescent="0.25">
      <c r="A7" s="28" t="s">
        <v>4</v>
      </c>
      <c r="B7">
        <v>457874</v>
      </c>
      <c r="C7" t="s">
        <v>40</v>
      </c>
      <c r="D7" t="s">
        <v>40</v>
      </c>
      <c r="E7" t="s">
        <v>142</v>
      </c>
      <c r="F7">
        <v>4</v>
      </c>
      <c r="G7" t="s">
        <v>42</v>
      </c>
      <c r="H7" t="s">
        <v>141</v>
      </c>
    </row>
    <row r="8" spans="1:8" x14ac:dyDescent="0.25">
      <c r="A8" s="26" t="s">
        <v>5</v>
      </c>
      <c r="C8" t="s">
        <v>130</v>
      </c>
      <c r="D8" t="s">
        <v>128</v>
      </c>
      <c r="E8" t="s">
        <v>133</v>
      </c>
      <c r="F8">
        <v>2</v>
      </c>
      <c r="H8" t="s">
        <v>126</v>
      </c>
    </row>
    <row r="9" spans="1:8" x14ac:dyDescent="0.25">
      <c r="A9" s="28" t="s">
        <v>6</v>
      </c>
      <c r="B9">
        <v>457874</v>
      </c>
      <c r="C9" t="s">
        <v>39</v>
      </c>
      <c r="D9" t="s">
        <v>40</v>
      </c>
      <c r="E9" t="s">
        <v>41</v>
      </c>
      <c r="F9">
        <v>4</v>
      </c>
      <c r="G9" t="s">
        <v>42</v>
      </c>
      <c r="H9" t="s">
        <v>125</v>
      </c>
    </row>
    <row r="10" spans="1:8" x14ac:dyDescent="0.25">
      <c r="A10" t="s">
        <v>127</v>
      </c>
      <c r="B10">
        <v>457874</v>
      </c>
      <c r="C10" t="s">
        <v>39</v>
      </c>
      <c r="D10" t="s">
        <v>40</v>
      </c>
      <c r="E10" t="s">
        <v>41</v>
      </c>
      <c r="F10">
        <v>6</v>
      </c>
      <c r="G10" t="s">
        <v>42</v>
      </c>
      <c r="H10" t="s">
        <v>125</v>
      </c>
    </row>
    <row r="11" spans="1:8" x14ac:dyDescent="0.25">
      <c r="A11" t="s">
        <v>132</v>
      </c>
      <c r="B11">
        <v>457874</v>
      </c>
      <c r="C11" t="s">
        <v>40</v>
      </c>
      <c r="D11" t="s">
        <v>40</v>
      </c>
      <c r="E11" t="s">
        <v>142</v>
      </c>
      <c r="F11">
        <v>4</v>
      </c>
      <c r="G11" t="s">
        <v>42</v>
      </c>
      <c r="H11" t="s">
        <v>141</v>
      </c>
    </row>
  </sheetData>
  <mergeCells count="1"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8"/>
  <sheetViews>
    <sheetView topLeftCell="A22" workbookViewId="0">
      <selection activeCell="H31" sqref="H31"/>
    </sheetView>
  </sheetViews>
  <sheetFormatPr defaultRowHeight="15" x14ac:dyDescent="0.25"/>
  <cols>
    <col min="1" max="1" width="5.28515625" customWidth="1"/>
    <col min="2" max="2" width="10.42578125" bestFit="1" customWidth="1"/>
    <col min="3" max="3" width="13.5703125" customWidth="1"/>
    <col min="4" max="4" width="8.7109375" customWidth="1"/>
    <col min="5" max="5" width="12.42578125" customWidth="1"/>
    <col min="6" max="6" width="17.28515625" bestFit="1" customWidth="1"/>
  </cols>
  <sheetData>
    <row r="1" spans="1:6" x14ac:dyDescent="0.25">
      <c r="A1" s="29" t="s">
        <v>43</v>
      </c>
      <c r="B1" s="29" t="s">
        <v>44</v>
      </c>
      <c r="C1" s="29" t="s">
        <v>45</v>
      </c>
      <c r="D1" s="29" t="s">
        <v>46</v>
      </c>
      <c r="E1" s="29" t="s">
        <v>47</v>
      </c>
      <c r="F1" s="29" t="s">
        <v>48</v>
      </c>
    </row>
    <row r="2" spans="1:6" ht="18.75" x14ac:dyDescent="0.3">
      <c r="A2" s="117" t="s">
        <v>49</v>
      </c>
      <c r="B2" s="117"/>
      <c r="C2" s="117"/>
      <c r="D2" s="117"/>
      <c r="E2" s="117"/>
      <c r="F2" s="117"/>
    </row>
    <row r="3" spans="1:6" x14ac:dyDescent="0.25">
      <c r="A3" s="30" t="s">
        <v>50</v>
      </c>
      <c r="B3" s="30" t="s">
        <v>51</v>
      </c>
      <c r="C3" s="30" t="s">
        <v>52</v>
      </c>
      <c r="D3" s="30" t="s">
        <v>53</v>
      </c>
      <c r="E3" s="30" t="s">
        <v>54</v>
      </c>
      <c r="F3" s="30" t="s">
        <v>37</v>
      </c>
    </row>
    <row r="4" spans="1:6" x14ac:dyDescent="0.25">
      <c r="A4" t="s">
        <v>1</v>
      </c>
      <c r="B4" s="31">
        <v>43831</v>
      </c>
      <c r="C4" s="32">
        <v>145</v>
      </c>
      <c r="D4" t="str">
        <f ca="1">INDEX('Vehicle Expense Tracker'!$O$78:$O$83,RANDBETWEEN(1,6))</f>
        <v>Oil</v>
      </c>
      <c r="E4" t="s">
        <v>56</v>
      </c>
      <c r="F4" t="s">
        <v>57</v>
      </c>
    </row>
    <row r="5" spans="1:6" x14ac:dyDescent="0.25">
      <c r="A5" t="s">
        <v>1</v>
      </c>
      <c r="B5" s="31">
        <v>43832</v>
      </c>
      <c r="C5" s="32">
        <v>50</v>
      </c>
      <c r="D5" t="str">
        <f ca="1">INDEX('Vehicle Expense Tracker'!$O$78:$O$83,RANDBETWEEN(1,6))</f>
        <v>Bribe</v>
      </c>
      <c r="E5" t="s">
        <v>56</v>
      </c>
      <c r="F5" t="s">
        <v>57</v>
      </c>
    </row>
    <row r="6" spans="1:6" x14ac:dyDescent="0.25">
      <c r="A6" t="s">
        <v>1</v>
      </c>
      <c r="B6" s="31">
        <v>43833</v>
      </c>
      <c r="C6" s="32">
        <v>160</v>
      </c>
      <c r="D6" t="str">
        <f ca="1">INDEX('Vehicle Expense Tracker'!$O$78:$O$83,RANDBETWEEN(1,6))</f>
        <v>Toll Fees</v>
      </c>
      <c r="E6" t="s">
        <v>56</v>
      </c>
      <c r="F6" t="s">
        <v>57</v>
      </c>
    </row>
    <row r="7" spans="1:6" x14ac:dyDescent="0.25">
      <c r="A7" t="s">
        <v>1</v>
      </c>
      <c r="B7" s="31">
        <v>43834</v>
      </c>
      <c r="C7" s="32">
        <v>25</v>
      </c>
      <c r="D7" t="str">
        <f ca="1">INDEX('Vehicle Expense Tracker'!$O$78:$O$83,RANDBETWEEN(1,6))</f>
        <v>Cleaning</v>
      </c>
      <c r="E7" t="s">
        <v>56</v>
      </c>
      <c r="F7" t="s">
        <v>57</v>
      </c>
    </row>
    <row r="8" spans="1:6" x14ac:dyDescent="0.25">
      <c r="A8" t="s">
        <v>1</v>
      </c>
      <c r="B8" s="31">
        <v>43835</v>
      </c>
      <c r="C8" s="32">
        <v>35</v>
      </c>
      <c r="D8" t="str">
        <f ca="1">INDEX('Vehicle Expense Tracker'!$O$78:$O$83,RANDBETWEEN(1,6))</f>
        <v>Repairs</v>
      </c>
      <c r="E8" t="s">
        <v>56</v>
      </c>
      <c r="F8" t="s">
        <v>57</v>
      </c>
    </row>
    <row r="9" spans="1:6" x14ac:dyDescent="0.25">
      <c r="A9" t="s">
        <v>1</v>
      </c>
      <c r="B9" s="31">
        <v>43836</v>
      </c>
      <c r="C9" s="32">
        <v>45</v>
      </c>
      <c r="D9" t="str">
        <f ca="1">INDEX('Vehicle Expense Tracker'!$O$78:$O$83,RANDBETWEEN(1,6))</f>
        <v>Toll Fees</v>
      </c>
      <c r="E9" t="s">
        <v>56</v>
      </c>
      <c r="F9" t="s">
        <v>57</v>
      </c>
    </row>
    <row r="10" spans="1:6" x14ac:dyDescent="0.25">
      <c r="A10" t="s">
        <v>1</v>
      </c>
      <c r="B10" s="31">
        <v>43837</v>
      </c>
      <c r="C10" s="32">
        <v>55</v>
      </c>
      <c r="D10" t="str">
        <f ca="1">INDEX('Vehicle Expense Tracker'!$O$78:$O$83,RANDBETWEEN(1,6))</f>
        <v>Cleaning</v>
      </c>
      <c r="E10" t="s">
        <v>56</v>
      </c>
      <c r="F10" t="s">
        <v>57</v>
      </c>
    </row>
    <row r="11" spans="1:6" x14ac:dyDescent="0.25">
      <c r="A11" t="s">
        <v>1</v>
      </c>
      <c r="B11" s="31">
        <v>43838</v>
      </c>
      <c r="C11" s="32">
        <v>85</v>
      </c>
      <c r="D11" t="str">
        <f ca="1">INDEX('Vehicle Expense Tracker'!$O$78:$O$83,RANDBETWEEN(1,6))</f>
        <v>Bribe</v>
      </c>
      <c r="E11" t="s">
        <v>56</v>
      </c>
      <c r="F11" t="s">
        <v>57</v>
      </c>
    </row>
    <row r="12" spans="1:6" x14ac:dyDescent="0.25">
      <c r="A12" t="s">
        <v>1</v>
      </c>
      <c r="B12" s="31">
        <v>43839</v>
      </c>
      <c r="C12" s="32">
        <v>100</v>
      </c>
      <c r="D12" t="str">
        <f ca="1">INDEX('Vehicle Expense Tracker'!$O$78:$O$83,RANDBETWEEN(1,6))</f>
        <v>Repairs</v>
      </c>
      <c r="E12" t="s">
        <v>56</v>
      </c>
      <c r="F12" t="s">
        <v>57</v>
      </c>
    </row>
    <row r="13" spans="1:6" x14ac:dyDescent="0.25">
      <c r="A13" t="s">
        <v>1</v>
      </c>
      <c r="B13" s="31">
        <v>43840</v>
      </c>
      <c r="C13" s="32">
        <v>25</v>
      </c>
      <c r="D13" t="str">
        <f ca="1">INDEX('Vehicle Expense Tracker'!$O$78:$O$83,RANDBETWEEN(1,6))</f>
        <v>Oil</v>
      </c>
      <c r="E13" t="s">
        <v>56</v>
      </c>
      <c r="F13" t="s">
        <v>57</v>
      </c>
    </row>
    <row r="14" spans="1:6" x14ac:dyDescent="0.25">
      <c r="A14" t="s">
        <v>1</v>
      </c>
      <c r="B14" s="31">
        <v>43841</v>
      </c>
      <c r="C14" s="32">
        <v>35</v>
      </c>
      <c r="D14" t="str">
        <f ca="1">INDEX('Vehicle Expense Tracker'!$O$78:$O$83,RANDBETWEEN(1,6))</f>
        <v>Bribe</v>
      </c>
      <c r="E14" t="s">
        <v>56</v>
      </c>
      <c r="F14" t="s">
        <v>57</v>
      </c>
    </row>
    <row r="15" spans="1:6" x14ac:dyDescent="0.25">
      <c r="A15" t="s">
        <v>1</v>
      </c>
      <c r="B15" s="31">
        <v>43842</v>
      </c>
      <c r="C15" s="32">
        <v>45</v>
      </c>
      <c r="D15" t="str">
        <f ca="1">INDEX('Vehicle Expense Tracker'!$O$78:$O$83,RANDBETWEEN(1,6))</f>
        <v>Toll Fees</v>
      </c>
      <c r="E15" t="s">
        <v>56</v>
      </c>
      <c r="F15" t="s">
        <v>57</v>
      </c>
    </row>
    <row r="16" spans="1:6" x14ac:dyDescent="0.25">
      <c r="A16" t="s">
        <v>1</v>
      </c>
      <c r="B16" s="31">
        <v>43843</v>
      </c>
      <c r="C16" s="32">
        <v>55</v>
      </c>
      <c r="D16" t="str">
        <f ca="1">INDEX('Vehicle Expense Tracker'!$O$78:$O$83,RANDBETWEEN(1,6))</f>
        <v>Repairs</v>
      </c>
      <c r="E16" t="s">
        <v>56</v>
      </c>
      <c r="F16" t="s">
        <v>57</v>
      </c>
    </row>
    <row r="17" spans="1:6" x14ac:dyDescent="0.25">
      <c r="A17" t="s">
        <v>1</v>
      </c>
      <c r="B17" s="31">
        <v>43844</v>
      </c>
      <c r="C17" s="32">
        <v>85</v>
      </c>
      <c r="D17" t="str">
        <f ca="1">INDEX('Vehicle Expense Tracker'!$O$78:$O$83,RANDBETWEEN(1,6))</f>
        <v>Bribe</v>
      </c>
      <c r="E17" t="s">
        <v>56</v>
      </c>
      <c r="F17" t="s">
        <v>57</v>
      </c>
    </row>
    <row r="18" spans="1:6" x14ac:dyDescent="0.25">
      <c r="A18" t="s">
        <v>1</v>
      </c>
      <c r="B18" s="31">
        <v>43845</v>
      </c>
      <c r="C18" s="32">
        <v>100</v>
      </c>
      <c r="D18" t="str">
        <f ca="1">INDEX('Vehicle Expense Tracker'!$O$78:$O$83,RANDBETWEEN(1,6))</f>
        <v>Repairs</v>
      </c>
      <c r="E18" t="s">
        <v>56</v>
      </c>
      <c r="F18" t="s">
        <v>57</v>
      </c>
    </row>
    <row r="19" spans="1:6" x14ac:dyDescent="0.25">
      <c r="A19" t="s">
        <v>1</v>
      </c>
      <c r="B19" s="31">
        <v>43846</v>
      </c>
      <c r="C19" s="32">
        <v>145</v>
      </c>
      <c r="D19" t="str">
        <f ca="1">INDEX('Vehicle Expense Tracker'!$O$78:$O$83,RANDBETWEEN(1,6))</f>
        <v>Bribe</v>
      </c>
      <c r="E19" t="s">
        <v>56</v>
      </c>
      <c r="F19" t="s">
        <v>57</v>
      </c>
    </row>
    <row r="20" spans="1:6" x14ac:dyDescent="0.25">
      <c r="A20" t="s">
        <v>1</v>
      </c>
      <c r="B20" s="31">
        <v>43847</v>
      </c>
      <c r="C20" s="32">
        <v>50</v>
      </c>
      <c r="D20" t="str">
        <f ca="1">INDEX('Vehicle Expense Tracker'!$O$78:$O$83,RANDBETWEEN(1,6))</f>
        <v>Bribe</v>
      </c>
      <c r="E20" t="s">
        <v>56</v>
      </c>
      <c r="F20" t="s">
        <v>57</v>
      </c>
    </row>
    <row r="21" spans="1:6" x14ac:dyDescent="0.25">
      <c r="A21" t="s">
        <v>1</v>
      </c>
      <c r="B21" s="31">
        <v>43848</v>
      </c>
      <c r="C21" s="32">
        <v>160</v>
      </c>
      <c r="D21" t="str">
        <f ca="1">INDEX('Vehicle Expense Tracker'!$O$78:$O$83,RANDBETWEEN(1,6))</f>
        <v>Toll Fees</v>
      </c>
      <c r="E21" t="s">
        <v>56</v>
      </c>
      <c r="F21" t="s">
        <v>57</v>
      </c>
    </row>
    <row r="22" spans="1:6" x14ac:dyDescent="0.25">
      <c r="A22" t="s">
        <v>1</v>
      </c>
      <c r="B22" s="31">
        <v>43849</v>
      </c>
      <c r="C22" s="32">
        <v>25</v>
      </c>
      <c r="D22" t="str">
        <f ca="1">INDEX('Vehicle Expense Tracker'!$O$78:$O$83,RANDBETWEEN(1,6))</f>
        <v>Bribe</v>
      </c>
      <c r="E22" t="s">
        <v>56</v>
      </c>
      <c r="F22" t="s">
        <v>57</v>
      </c>
    </row>
    <row r="23" spans="1:6" x14ac:dyDescent="0.25">
      <c r="A23" t="s">
        <v>1</v>
      </c>
      <c r="B23" s="31">
        <v>43850</v>
      </c>
      <c r="C23" s="32">
        <v>35</v>
      </c>
      <c r="D23" t="str">
        <f ca="1">INDEX('Vehicle Expense Tracker'!$O$78:$O$83,RANDBETWEEN(1,6))</f>
        <v>Bribe</v>
      </c>
      <c r="E23" t="s">
        <v>56</v>
      </c>
      <c r="F23" t="s">
        <v>57</v>
      </c>
    </row>
    <row r="24" spans="1:6" x14ac:dyDescent="0.25">
      <c r="A24" t="s">
        <v>1</v>
      </c>
      <c r="B24" s="31">
        <v>43851</v>
      </c>
      <c r="C24" s="32">
        <v>45</v>
      </c>
      <c r="D24" t="str">
        <f ca="1">INDEX('Vehicle Expense Tracker'!$O$78:$O$83,RANDBETWEEN(1,6))</f>
        <v>Repairs</v>
      </c>
      <c r="E24" t="s">
        <v>56</v>
      </c>
      <c r="F24" t="s">
        <v>57</v>
      </c>
    </row>
    <row r="25" spans="1:6" x14ac:dyDescent="0.25">
      <c r="A25" t="s">
        <v>1</v>
      </c>
      <c r="B25" s="31">
        <v>43852</v>
      </c>
      <c r="C25" s="32">
        <v>55</v>
      </c>
      <c r="D25" t="str">
        <f ca="1">INDEX('Vehicle Expense Tracker'!$O$78:$O$83,RANDBETWEEN(1,6))</f>
        <v>Cleaning</v>
      </c>
      <c r="E25" t="s">
        <v>56</v>
      </c>
      <c r="F25" t="s">
        <v>57</v>
      </c>
    </row>
    <row r="26" spans="1:6" x14ac:dyDescent="0.25">
      <c r="A26" t="s">
        <v>1</v>
      </c>
      <c r="B26" s="31">
        <v>43853</v>
      </c>
      <c r="C26" s="32">
        <v>85</v>
      </c>
      <c r="D26" t="str">
        <f ca="1">INDEX('Vehicle Expense Tracker'!$O$78:$O$83,RANDBETWEEN(1,6))</f>
        <v>Cleaning</v>
      </c>
      <c r="E26" t="s">
        <v>56</v>
      </c>
      <c r="F26" t="s">
        <v>57</v>
      </c>
    </row>
    <row r="27" spans="1:6" x14ac:dyDescent="0.25">
      <c r="A27" t="s">
        <v>1</v>
      </c>
      <c r="B27" s="31">
        <v>43854</v>
      </c>
      <c r="C27" s="32">
        <v>100</v>
      </c>
      <c r="D27" t="str">
        <f ca="1">INDEX('Vehicle Expense Tracker'!$O$78:$O$83,RANDBETWEEN(1,6))</f>
        <v>Toll Fees</v>
      </c>
      <c r="E27" t="s">
        <v>56</v>
      </c>
      <c r="F27" t="s">
        <v>57</v>
      </c>
    </row>
    <row r="28" spans="1:6" x14ac:dyDescent="0.25">
      <c r="A28" t="s">
        <v>1</v>
      </c>
      <c r="B28" s="31">
        <v>43855</v>
      </c>
      <c r="C28" s="32">
        <v>25</v>
      </c>
      <c r="D28" t="str">
        <f ca="1">INDEX('Vehicle Expense Tracker'!$O$78:$O$83,RANDBETWEEN(1,6))</f>
        <v>Oil</v>
      </c>
      <c r="E28" t="s">
        <v>56</v>
      </c>
      <c r="F28" t="s">
        <v>57</v>
      </c>
    </row>
    <row r="29" spans="1:6" x14ac:dyDescent="0.25">
      <c r="A29" t="s">
        <v>1</v>
      </c>
      <c r="B29" s="31">
        <v>43856</v>
      </c>
      <c r="C29" s="32">
        <v>35</v>
      </c>
      <c r="D29" t="str">
        <f ca="1">INDEX('Vehicle Expense Tracker'!$O$78:$O$83,RANDBETWEEN(1,6))</f>
        <v>Cleaning</v>
      </c>
      <c r="E29" t="s">
        <v>56</v>
      </c>
      <c r="F29" t="s">
        <v>57</v>
      </c>
    </row>
    <row r="30" spans="1:6" x14ac:dyDescent="0.25">
      <c r="A30" t="s">
        <v>1</v>
      </c>
      <c r="B30" s="31">
        <v>43857</v>
      </c>
      <c r="C30" s="32">
        <v>45</v>
      </c>
      <c r="D30" t="str">
        <f ca="1">INDEX('Vehicle Expense Tracker'!$O$78:$O$83,RANDBETWEEN(1,6))</f>
        <v>Repairs</v>
      </c>
      <c r="E30" t="s">
        <v>56</v>
      </c>
      <c r="F30" t="s">
        <v>57</v>
      </c>
    </row>
    <row r="31" spans="1:6" x14ac:dyDescent="0.25">
      <c r="A31" t="s">
        <v>165</v>
      </c>
      <c r="B31" s="31">
        <v>43858</v>
      </c>
      <c r="C31" s="32">
        <v>55</v>
      </c>
      <c r="D31" t="str">
        <f ca="1">INDEX('Vehicle Expense Tracker'!$O$78:$O$83,RANDBETWEEN(1,6))</f>
        <v>Bribe</v>
      </c>
      <c r="E31" t="s">
        <v>56</v>
      </c>
      <c r="F31" t="s">
        <v>57</v>
      </c>
    </row>
    <row r="32" spans="1:6" x14ac:dyDescent="0.25">
      <c r="A32" t="s">
        <v>165</v>
      </c>
      <c r="B32" s="31">
        <v>43859</v>
      </c>
      <c r="C32" s="32">
        <v>85</v>
      </c>
      <c r="D32" t="str">
        <f ca="1">INDEX('Vehicle Expense Tracker'!$O$78:$O$83,RANDBETWEEN(1,6))</f>
        <v>Cleaning</v>
      </c>
      <c r="E32" t="s">
        <v>56</v>
      </c>
      <c r="F32" t="s">
        <v>57</v>
      </c>
    </row>
    <row r="33" spans="1:6" x14ac:dyDescent="0.25">
      <c r="A33" t="s">
        <v>165</v>
      </c>
      <c r="B33" s="31">
        <v>43860</v>
      </c>
      <c r="C33" s="32">
        <v>100</v>
      </c>
      <c r="D33" t="str">
        <f ca="1">INDEX('Vehicle Expense Tracker'!$O$78:$O$83,RANDBETWEEN(1,6))</f>
        <v>Cleaning</v>
      </c>
      <c r="E33" t="s">
        <v>56</v>
      </c>
      <c r="F33" t="s">
        <v>57</v>
      </c>
    </row>
    <row r="34" spans="1:6" x14ac:dyDescent="0.25">
      <c r="A34" t="s">
        <v>165</v>
      </c>
      <c r="B34" s="31">
        <v>43882</v>
      </c>
      <c r="C34" s="32">
        <v>1000</v>
      </c>
      <c r="D34" t="str">
        <f ca="1">INDEX('Vehicle Expense Tracker'!$O$78:$O$83,RANDBETWEEN(1,6))</f>
        <v>Oil</v>
      </c>
      <c r="E34" t="s">
        <v>144</v>
      </c>
      <c r="F34" t="s">
        <v>145</v>
      </c>
    </row>
    <row r="35" spans="1:6" x14ac:dyDescent="0.25">
      <c r="A35" t="s">
        <v>1</v>
      </c>
      <c r="B35" s="31">
        <v>43882</v>
      </c>
      <c r="C35" s="32">
        <v>1000</v>
      </c>
      <c r="D35" t="str">
        <f ca="1">INDEX('Vehicle Expense Tracker'!$O$78:$O$83,RANDBETWEEN(1,6))</f>
        <v>Toll Fees</v>
      </c>
      <c r="E35" t="s">
        <v>146</v>
      </c>
      <c r="F35" t="s">
        <v>145</v>
      </c>
    </row>
    <row r="36" spans="1:6" x14ac:dyDescent="0.25">
      <c r="A36" t="s">
        <v>1</v>
      </c>
      <c r="B36" s="31">
        <v>43882</v>
      </c>
      <c r="C36" s="32">
        <v>1000</v>
      </c>
      <c r="D36" t="str">
        <f ca="1">INDEX('Vehicle Expense Tracker'!$O$78:$O$83,RANDBETWEEN(1,6))</f>
        <v>Bribe</v>
      </c>
      <c r="E36" t="s">
        <v>146</v>
      </c>
      <c r="F36" t="s">
        <v>145</v>
      </c>
    </row>
    <row r="37" spans="1:6" x14ac:dyDescent="0.25">
      <c r="A37" t="s">
        <v>1</v>
      </c>
      <c r="B37" s="31">
        <v>43882</v>
      </c>
      <c r="C37" s="32">
        <v>1000</v>
      </c>
      <c r="D37" t="str">
        <f ca="1">INDEX('Vehicle Expense Tracker'!$O$78:$O$83,RANDBETWEEN(1,6))</f>
        <v>Repairs</v>
      </c>
      <c r="E37" t="s">
        <v>146</v>
      </c>
      <c r="F37" t="s">
        <v>145</v>
      </c>
    </row>
    <row r="38" spans="1:6" x14ac:dyDescent="0.25">
      <c r="A38" t="s">
        <v>1</v>
      </c>
      <c r="B38" s="31">
        <v>43882</v>
      </c>
      <c r="C38" s="32">
        <v>1000</v>
      </c>
      <c r="D38" t="str">
        <f ca="1">INDEX('Vehicle Expense Tracker'!$O$78:$O$83,RANDBETWEEN(1,6))</f>
        <v>Repairs</v>
      </c>
      <c r="E38" t="s">
        <v>146</v>
      </c>
      <c r="F38" t="s">
        <v>145</v>
      </c>
    </row>
  </sheetData>
  <mergeCells count="1">
    <mergeCell ref="A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88"/>
  <sheetViews>
    <sheetView workbookViewId="0">
      <selection activeCell="J42" sqref="J42"/>
    </sheetView>
  </sheetViews>
  <sheetFormatPr defaultRowHeight="15" x14ac:dyDescent="0.25"/>
  <cols>
    <col min="1" max="1" width="7.7109375" bestFit="1" customWidth="1"/>
    <col min="2" max="2" width="10.42578125" bestFit="1" customWidth="1"/>
    <col min="3" max="3" width="15.85546875" customWidth="1"/>
    <col min="4" max="4" width="5.85546875" bestFit="1" customWidth="1"/>
    <col min="5" max="5" width="4.140625" bestFit="1" customWidth="1"/>
    <col min="6" max="6" width="9.42578125" bestFit="1" customWidth="1"/>
    <col min="7" max="7" width="14.140625" bestFit="1" customWidth="1"/>
  </cols>
  <sheetData>
    <row r="1" spans="1:7" x14ac:dyDescent="0.25">
      <c r="A1" s="40" t="s">
        <v>86</v>
      </c>
      <c r="B1" s="40" t="s">
        <v>87</v>
      </c>
      <c r="C1" s="40" t="s">
        <v>88</v>
      </c>
      <c r="D1" s="40" t="s">
        <v>89</v>
      </c>
      <c r="E1" s="40" t="s">
        <v>90</v>
      </c>
      <c r="F1" s="40" t="s">
        <v>91</v>
      </c>
      <c r="G1" s="41" t="s">
        <v>92</v>
      </c>
    </row>
    <row r="2" spans="1:7" ht="18.75" x14ac:dyDescent="0.3">
      <c r="A2" s="118" t="s">
        <v>62</v>
      </c>
      <c r="B2" s="119"/>
      <c r="C2" s="119"/>
      <c r="D2" s="119"/>
      <c r="E2" s="119"/>
      <c r="F2" s="119"/>
      <c r="G2" s="120"/>
    </row>
    <row r="3" spans="1:7" x14ac:dyDescent="0.25">
      <c r="A3" s="33" t="s">
        <v>50</v>
      </c>
      <c r="B3" s="33" t="s">
        <v>51</v>
      </c>
      <c r="C3" s="33" t="s">
        <v>52</v>
      </c>
      <c r="D3" s="33" t="s">
        <v>63</v>
      </c>
      <c r="E3" s="33" t="s">
        <v>64</v>
      </c>
      <c r="F3" s="33" t="s">
        <v>65</v>
      </c>
      <c r="G3" s="33" t="s">
        <v>37</v>
      </c>
    </row>
    <row r="4" spans="1:7" x14ac:dyDescent="0.25">
      <c r="A4" t="s">
        <v>3</v>
      </c>
      <c r="B4" s="31">
        <v>43840</v>
      </c>
      <c r="C4" s="32">
        <v>118</v>
      </c>
      <c r="D4" t="s">
        <v>66</v>
      </c>
      <c r="E4">
        <v>29</v>
      </c>
      <c r="F4" t="s">
        <v>67</v>
      </c>
      <c r="G4" t="s">
        <v>68</v>
      </c>
    </row>
    <row r="5" spans="1:7" x14ac:dyDescent="0.25">
      <c r="A5" t="s">
        <v>1</v>
      </c>
      <c r="B5" s="31">
        <f>B4+5</f>
        <v>43845</v>
      </c>
      <c r="C5" s="32">
        <v>66</v>
      </c>
      <c r="D5" t="s">
        <v>66</v>
      </c>
      <c r="E5">
        <v>21</v>
      </c>
      <c r="F5" t="s">
        <v>67</v>
      </c>
      <c r="G5" t="s">
        <v>68</v>
      </c>
    </row>
    <row r="6" spans="1:7" x14ac:dyDescent="0.25">
      <c r="A6" t="s">
        <v>2</v>
      </c>
      <c r="B6" s="31">
        <f t="shared" ref="B6:B57" si="0">B5+5</f>
        <v>43850</v>
      </c>
      <c r="C6" s="32">
        <v>58</v>
      </c>
      <c r="D6" t="s">
        <v>66</v>
      </c>
      <c r="E6">
        <v>15</v>
      </c>
      <c r="F6" t="s">
        <v>67</v>
      </c>
      <c r="G6" t="s">
        <v>68</v>
      </c>
    </row>
    <row r="7" spans="1:7" x14ac:dyDescent="0.25">
      <c r="A7" t="s">
        <v>3</v>
      </c>
      <c r="B7" s="31">
        <f t="shared" si="0"/>
        <v>43855</v>
      </c>
      <c r="C7" s="32">
        <v>77</v>
      </c>
      <c r="D7" t="s">
        <v>66</v>
      </c>
      <c r="E7">
        <v>22</v>
      </c>
      <c r="F7" t="s">
        <v>67</v>
      </c>
      <c r="G7" t="s">
        <v>68</v>
      </c>
    </row>
    <row r="8" spans="1:7" x14ac:dyDescent="0.25">
      <c r="A8" t="s">
        <v>4</v>
      </c>
      <c r="B8" s="31">
        <f t="shared" si="0"/>
        <v>43860</v>
      </c>
      <c r="C8" s="32">
        <v>124</v>
      </c>
      <c r="D8" t="s">
        <v>66</v>
      </c>
      <c r="E8">
        <v>12</v>
      </c>
      <c r="F8" t="s">
        <v>67</v>
      </c>
      <c r="G8" t="s">
        <v>68</v>
      </c>
    </row>
    <row r="9" spans="1:7" x14ac:dyDescent="0.25">
      <c r="A9" t="s">
        <v>5</v>
      </c>
      <c r="B9" s="31">
        <f t="shared" si="0"/>
        <v>43865</v>
      </c>
      <c r="C9" s="32">
        <v>108</v>
      </c>
      <c r="D9" t="s">
        <v>66</v>
      </c>
      <c r="E9">
        <v>26</v>
      </c>
      <c r="F9" t="s">
        <v>67</v>
      </c>
      <c r="G9" t="s">
        <v>68</v>
      </c>
    </row>
    <row r="10" spans="1:7" x14ac:dyDescent="0.25">
      <c r="A10" t="s">
        <v>6</v>
      </c>
      <c r="B10" s="31">
        <f t="shared" si="0"/>
        <v>43870</v>
      </c>
      <c r="C10" s="32">
        <v>62</v>
      </c>
      <c r="D10" t="s">
        <v>66</v>
      </c>
      <c r="E10">
        <v>17</v>
      </c>
      <c r="F10" t="s">
        <v>67</v>
      </c>
      <c r="G10" t="s">
        <v>68</v>
      </c>
    </row>
    <row r="11" spans="1:7" x14ac:dyDescent="0.25">
      <c r="A11" t="s">
        <v>1</v>
      </c>
      <c r="B11" s="31">
        <f t="shared" si="0"/>
        <v>43875</v>
      </c>
      <c r="C11" s="32">
        <v>89</v>
      </c>
      <c r="D11" t="s">
        <v>66</v>
      </c>
      <c r="E11">
        <v>12</v>
      </c>
      <c r="F11" t="s">
        <v>67</v>
      </c>
      <c r="G11" t="s">
        <v>68</v>
      </c>
    </row>
    <row r="12" spans="1:7" x14ac:dyDescent="0.25">
      <c r="A12" t="s">
        <v>2</v>
      </c>
      <c r="B12" s="31">
        <f t="shared" si="0"/>
        <v>43880</v>
      </c>
      <c r="C12" s="32">
        <v>52</v>
      </c>
      <c r="D12" t="s">
        <v>66</v>
      </c>
      <c r="E12">
        <v>17</v>
      </c>
      <c r="F12" t="s">
        <v>67</v>
      </c>
      <c r="G12" t="s">
        <v>68</v>
      </c>
    </row>
    <row r="13" spans="1:7" x14ac:dyDescent="0.25">
      <c r="A13" t="s">
        <v>3</v>
      </c>
      <c r="B13" s="31">
        <f t="shared" si="0"/>
        <v>43885</v>
      </c>
      <c r="C13" s="32">
        <v>75</v>
      </c>
      <c r="D13" t="s">
        <v>66</v>
      </c>
      <c r="E13">
        <v>11</v>
      </c>
      <c r="F13" t="s">
        <v>67</v>
      </c>
      <c r="G13" t="s">
        <v>68</v>
      </c>
    </row>
    <row r="14" spans="1:7" x14ac:dyDescent="0.25">
      <c r="A14" t="s">
        <v>4</v>
      </c>
      <c r="B14" s="31">
        <f t="shared" si="0"/>
        <v>43890</v>
      </c>
      <c r="C14" s="32">
        <v>94</v>
      </c>
      <c r="D14" t="s">
        <v>66</v>
      </c>
      <c r="E14">
        <v>29</v>
      </c>
      <c r="F14" t="s">
        <v>67</v>
      </c>
      <c r="G14" t="s">
        <v>68</v>
      </c>
    </row>
    <row r="15" spans="1:7" x14ac:dyDescent="0.25">
      <c r="A15" t="s">
        <v>5</v>
      </c>
      <c r="B15" s="31">
        <f t="shared" si="0"/>
        <v>43895</v>
      </c>
      <c r="C15" s="32">
        <v>123</v>
      </c>
      <c r="D15" t="s">
        <v>66</v>
      </c>
      <c r="E15">
        <v>21</v>
      </c>
      <c r="F15" t="s">
        <v>67</v>
      </c>
      <c r="G15" t="s">
        <v>68</v>
      </c>
    </row>
    <row r="16" spans="1:7" x14ac:dyDescent="0.25">
      <c r="A16" t="s">
        <v>6</v>
      </c>
      <c r="B16" s="31">
        <f t="shared" si="0"/>
        <v>43900</v>
      </c>
      <c r="C16" s="32">
        <v>100</v>
      </c>
      <c r="D16" t="s">
        <v>66</v>
      </c>
      <c r="E16">
        <v>10</v>
      </c>
      <c r="F16" t="s">
        <v>67</v>
      </c>
      <c r="G16" t="s">
        <v>68</v>
      </c>
    </row>
    <row r="17" spans="1:7" x14ac:dyDescent="0.25">
      <c r="A17" t="s">
        <v>3</v>
      </c>
      <c r="B17" s="31">
        <f t="shared" si="0"/>
        <v>43905</v>
      </c>
      <c r="C17" s="32">
        <v>95</v>
      </c>
      <c r="D17" t="s">
        <v>66</v>
      </c>
      <c r="E17">
        <v>11</v>
      </c>
      <c r="F17" t="s">
        <v>67</v>
      </c>
      <c r="G17" t="s">
        <v>68</v>
      </c>
    </row>
    <row r="18" spans="1:7" x14ac:dyDescent="0.25">
      <c r="A18" t="s">
        <v>4</v>
      </c>
      <c r="B18" s="31">
        <f t="shared" si="0"/>
        <v>43910</v>
      </c>
      <c r="C18" s="32">
        <v>72</v>
      </c>
      <c r="D18" t="s">
        <v>66</v>
      </c>
      <c r="E18">
        <v>19</v>
      </c>
      <c r="F18" t="s">
        <v>67</v>
      </c>
      <c r="G18" t="s">
        <v>68</v>
      </c>
    </row>
    <row r="19" spans="1:7" x14ac:dyDescent="0.25">
      <c r="A19" t="s">
        <v>2</v>
      </c>
      <c r="B19" s="31">
        <f>B18+5</f>
        <v>43915</v>
      </c>
      <c r="C19" s="32">
        <v>121</v>
      </c>
      <c r="D19" t="s">
        <v>66</v>
      </c>
      <c r="E19">
        <v>30</v>
      </c>
      <c r="F19" t="s">
        <v>67</v>
      </c>
      <c r="G19" t="s">
        <v>68</v>
      </c>
    </row>
    <row r="20" spans="1:7" x14ac:dyDescent="0.25">
      <c r="A20" t="s">
        <v>3</v>
      </c>
      <c r="B20" s="31">
        <f t="shared" si="0"/>
        <v>43920</v>
      </c>
      <c r="C20" s="32">
        <v>92</v>
      </c>
      <c r="D20" t="s">
        <v>66</v>
      </c>
      <c r="E20">
        <v>29</v>
      </c>
      <c r="F20" t="s">
        <v>67</v>
      </c>
      <c r="G20" t="s">
        <v>68</v>
      </c>
    </row>
    <row r="21" spans="1:7" x14ac:dyDescent="0.25">
      <c r="A21" t="s">
        <v>4</v>
      </c>
      <c r="B21" s="31">
        <f t="shared" si="0"/>
        <v>43925</v>
      </c>
      <c r="C21" s="32">
        <v>84</v>
      </c>
      <c r="D21" t="s">
        <v>66</v>
      </c>
      <c r="E21">
        <v>16</v>
      </c>
      <c r="F21" t="s">
        <v>67</v>
      </c>
      <c r="G21" t="s">
        <v>68</v>
      </c>
    </row>
    <row r="22" spans="1:7" x14ac:dyDescent="0.25">
      <c r="A22" t="s">
        <v>5</v>
      </c>
      <c r="B22" s="31">
        <f t="shared" si="0"/>
        <v>43930</v>
      </c>
      <c r="C22" s="32">
        <v>59</v>
      </c>
      <c r="D22" t="s">
        <v>66</v>
      </c>
      <c r="E22">
        <v>10</v>
      </c>
      <c r="F22" t="s">
        <v>67</v>
      </c>
      <c r="G22" t="s">
        <v>68</v>
      </c>
    </row>
    <row r="23" spans="1:7" x14ac:dyDescent="0.25">
      <c r="A23" t="s">
        <v>6</v>
      </c>
      <c r="B23" s="31">
        <f t="shared" si="0"/>
        <v>43935</v>
      </c>
      <c r="C23" s="32">
        <v>89</v>
      </c>
      <c r="D23" t="s">
        <v>66</v>
      </c>
      <c r="E23">
        <v>14</v>
      </c>
      <c r="F23" t="s">
        <v>67</v>
      </c>
      <c r="G23" t="s">
        <v>68</v>
      </c>
    </row>
    <row r="24" spans="1:7" x14ac:dyDescent="0.25">
      <c r="A24" t="s">
        <v>1</v>
      </c>
      <c r="B24" s="31">
        <f t="shared" si="0"/>
        <v>43940</v>
      </c>
      <c r="C24" s="32">
        <v>125</v>
      </c>
      <c r="D24" t="s">
        <v>66</v>
      </c>
      <c r="E24">
        <v>19</v>
      </c>
      <c r="F24" t="s">
        <v>67</v>
      </c>
      <c r="G24" t="s">
        <v>68</v>
      </c>
    </row>
    <row r="25" spans="1:7" x14ac:dyDescent="0.25">
      <c r="A25" t="s">
        <v>2</v>
      </c>
      <c r="B25" s="31">
        <f t="shared" si="0"/>
        <v>43945</v>
      </c>
      <c r="C25" s="32">
        <v>56</v>
      </c>
      <c r="D25" t="s">
        <v>66</v>
      </c>
      <c r="E25">
        <v>25</v>
      </c>
      <c r="F25" t="s">
        <v>67</v>
      </c>
      <c r="G25" t="s">
        <v>68</v>
      </c>
    </row>
    <row r="26" spans="1:7" x14ac:dyDescent="0.25">
      <c r="A26" t="s">
        <v>3</v>
      </c>
      <c r="B26" s="31">
        <f t="shared" si="0"/>
        <v>43950</v>
      </c>
      <c r="C26" s="32">
        <v>96</v>
      </c>
      <c r="D26" t="s">
        <v>66</v>
      </c>
      <c r="E26">
        <v>28</v>
      </c>
      <c r="F26" t="s">
        <v>67</v>
      </c>
      <c r="G26" t="s">
        <v>68</v>
      </c>
    </row>
    <row r="27" spans="1:7" x14ac:dyDescent="0.25">
      <c r="A27" t="s">
        <v>4</v>
      </c>
      <c r="B27" s="31">
        <f t="shared" si="0"/>
        <v>43955</v>
      </c>
      <c r="C27" s="32">
        <v>121</v>
      </c>
      <c r="D27" t="s">
        <v>66</v>
      </c>
      <c r="E27">
        <v>18</v>
      </c>
      <c r="F27" t="s">
        <v>67</v>
      </c>
      <c r="G27" t="s">
        <v>68</v>
      </c>
    </row>
    <row r="28" spans="1:7" x14ac:dyDescent="0.25">
      <c r="A28" t="s">
        <v>5</v>
      </c>
      <c r="B28" s="31">
        <f t="shared" si="0"/>
        <v>43960</v>
      </c>
      <c r="C28" s="32">
        <v>111</v>
      </c>
      <c r="D28" t="s">
        <v>66</v>
      </c>
      <c r="E28">
        <v>25</v>
      </c>
      <c r="F28" t="s">
        <v>67</v>
      </c>
      <c r="G28" t="s">
        <v>68</v>
      </c>
    </row>
    <row r="29" spans="1:7" x14ac:dyDescent="0.25">
      <c r="A29" t="s">
        <v>1</v>
      </c>
      <c r="B29" s="31">
        <f t="shared" si="0"/>
        <v>43965</v>
      </c>
      <c r="C29" s="32">
        <v>124</v>
      </c>
      <c r="D29" t="s">
        <v>66</v>
      </c>
      <c r="E29">
        <v>27</v>
      </c>
      <c r="F29" t="s">
        <v>67</v>
      </c>
      <c r="G29" t="s">
        <v>68</v>
      </c>
    </row>
    <row r="30" spans="1:7" x14ac:dyDescent="0.25">
      <c r="A30" t="s">
        <v>3</v>
      </c>
      <c r="B30" s="31">
        <f t="shared" si="0"/>
        <v>43970</v>
      </c>
      <c r="C30" s="32">
        <v>52</v>
      </c>
      <c r="D30" t="s">
        <v>66</v>
      </c>
      <c r="E30">
        <v>18</v>
      </c>
      <c r="F30" t="s">
        <v>67</v>
      </c>
      <c r="G30" t="s">
        <v>68</v>
      </c>
    </row>
    <row r="31" spans="1:7" x14ac:dyDescent="0.25">
      <c r="A31" t="s">
        <v>4</v>
      </c>
      <c r="B31" s="31">
        <f t="shared" si="0"/>
        <v>43975</v>
      </c>
      <c r="C31" s="32">
        <v>82</v>
      </c>
      <c r="D31" t="s">
        <v>66</v>
      </c>
      <c r="E31">
        <v>19</v>
      </c>
      <c r="F31" t="s">
        <v>67</v>
      </c>
      <c r="G31" t="s">
        <v>68</v>
      </c>
    </row>
    <row r="32" spans="1:7" x14ac:dyDescent="0.25">
      <c r="A32" t="s">
        <v>2</v>
      </c>
      <c r="B32" s="31">
        <f>B31+5</f>
        <v>43980</v>
      </c>
      <c r="C32" s="32">
        <v>90</v>
      </c>
      <c r="D32" t="s">
        <v>66</v>
      </c>
      <c r="E32">
        <v>21</v>
      </c>
      <c r="F32" t="s">
        <v>67</v>
      </c>
      <c r="G32" t="s">
        <v>68</v>
      </c>
    </row>
    <row r="33" spans="1:7" x14ac:dyDescent="0.25">
      <c r="A33" t="s">
        <v>3</v>
      </c>
      <c r="B33" s="31">
        <f t="shared" si="0"/>
        <v>43985</v>
      </c>
      <c r="C33" s="32">
        <v>59</v>
      </c>
      <c r="D33" t="s">
        <v>66</v>
      </c>
      <c r="E33">
        <v>14</v>
      </c>
      <c r="F33" t="s">
        <v>67</v>
      </c>
      <c r="G33" t="s">
        <v>68</v>
      </c>
    </row>
    <row r="34" spans="1:7" x14ac:dyDescent="0.25">
      <c r="A34" t="s">
        <v>4</v>
      </c>
      <c r="B34" s="31">
        <f t="shared" si="0"/>
        <v>43990</v>
      </c>
      <c r="C34" s="32">
        <v>68</v>
      </c>
      <c r="D34" t="s">
        <v>66</v>
      </c>
      <c r="E34">
        <v>16</v>
      </c>
      <c r="F34" t="s">
        <v>67</v>
      </c>
      <c r="G34" t="s">
        <v>68</v>
      </c>
    </row>
    <row r="35" spans="1:7" x14ac:dyDescent="0.25">
      <c r="A35" t="s">
        <v>5</v>
      </c>
      <c r="B35" s="31">
        <f t="shared" si="0"/>
        <v>43995</v>
      </c>
      <c r="C35" s="32">
        <v>110</v>
      </c>
      <c r="D35" t="s">
        <v>66</v>
      </c>
      <c r="E35">
        <v>17</v>
      </c>
      <c r="F35" t="s">
        <v>67</v>
      </c>
      <c r="G35" t="s">
        <v>68</v>
      </c>
    </row>
    <row r="36" spans="1:7" x14ac:dyDescent="0.25">
      <c r="A36" t="s">
        <v>6</v>
      </c>
      <c r="B36" s="31">
        <f t="shared" si="0"/>
        <v>44000</v>
      </c>
      <c r="C36" s="32">
        <v>74</v>
      </c>
      <c r="D36" t="s">
        <v>66</v>
      </c>
      <c r="E36">
        <v>12</v>
      </c>
      <c r="F36" t="s">
        <v>67</v>
      </c>
      <c r="G36" t="s">
        <v>68</v>
      </c>
    </row>
    <row r="37" spans="1:7" x14ac:dyDescent="0.25">
      <c r="A37" t="s">
        <v>1</v>
      </c>
      <c r="B37" s="31">
        <f t="shared" si="0"/>
        <v>44005</v>
      </c>
      <c r="C37" s="32">
        <v>122</v>
      </c>
      <c r="D37" t="s">
        <v>66</v>
      </c>
      <c r="E37">
        <v>26</v>
      </c>
      <c r="F37" t="s">
        <v>67</v>
      </c>
      <c r="G37" t="s">
        <v>68</v>
      </c>
    </row>
    <row r="38" spans="1:7" x14ac:dyDescent="0.25">
      <c r="A38" t="s">
        <v>2</v>
      </c>
      <c r="B38" s="31">
        <f t="shared" si="0"/>
        <v>44010</v>
      </c>
      <c r="C38" s="32">
        <v>72</v>
      </c>
      <c r="D38" t="s">
        <v>66</v>
      </c>
      <c r="E38">
        <v>10</v>
      </c>
      <c r="F38" t="s">
        <v>67</v>
      </c>
      <c r="G38" t="s">
        <v>68</v>
      </c>
    </row>
    <row r="39" spans="1:7" x14ac:dyDescent="0.25">
      <c r="A39" t="s">
        <v>2</v>
      </c>
      <c r="B39" s="31">
        <f t="shared" si="0"/>
        <v>44015</v>
      </c>
      <c r="C39" s="32">
        <v>72</v>
      </c>
      <c r="D39" t="s">
        <v>66</v>
      </c>
      <c r="E39">
        <v>10</v>
      </c>
      <c r="F39" t="s">
        <v>67</v>
      </c>
      <c r="G39" t="s">
        <v>68</v>
      </c>
    </row>
    <row r="40" spans="1:7" x14ac:dyDescent="0.25">
      <c r="A40" t="s">
        <v>2</v>
      </c>
      <c r="B40" s="31">
        <f t="shared" si="0"/>
        <v>44020</v>
      </c>
      <c r="C40" s="32">
        <v>72</v>
      </c>
      <c r="D40" t="s">
        <v>66</v>
      </c>
      <c r="E40">
        <v>10</v>
      </c>
      <c r="F40" t="s">
        <v>67</v>
      </c>
      <c r="G40" t="s">
        <v>68</v>
      </c>
    </row>
    <row r="41" spans="1:7" x14ac:dyDescent="0.25">
      <c r="A41" t="s">
        <v>2</v>
      </c>
      <c r="B41" s="31">
        <f t="shared" si="0"/>
        <v>44025</v>
      </c>
      <c r="C41" s="32">
        <v>72</v>
      </c>
      <c r="D41" t="s">
        <v>66</v>
      </c>
      <c r="E41">
        <v>10</v>
      </c>
      <c r="F41" t="s">
        <v>67</v>
      </c>
      <c r="G41" t="s">
        <v>68</v>
      </c>
    </row>
    <row r="42" spans="1:7" x14ac:dyDescent="0.25">
      <c r="A42" t="s">
        <v>2</v>
      </c>
      <c r="B42" s="31">
        <f t="shared" si="0"/>
        <v>44030</v>
      </c>
      <c r="C42" s="32">
        <v>72</v>
      </c>
      <c r="D42" t="s">
        <v>66</v>
      </c>
      <c r="E42">
        <v>10</v>
      </c>
      <c r="F42" t="s">
        <v>67</v>
      </c>
      <c r="G42" t="s">
        <v>68</v>
      </c>
    </row>
    <row r="43" spans="1:7" x14ac:dyDescent="0.25">
      <c r="A43" t="s">
        <v>2</v>
      </c>
      <c r="B43" s="31">
        <f t="shared" si="0"/>
        <v>44035</v>
      </c>
      <c r="C43" s="32">
        <v>72</v>
      </c>
      <c r="D43" t="s">
        <v>66</v>
      </c>
      <c r="E43">
        <v>10</v>
      </c>
      <c r="F43" t="s">
        <v>67</v>
      </c>
      <c r="G43" t="s">
        <v>68</v>
      </c>
    </row>
    <row r="44" spans="1:7" x14ac:dyDescent="0.25">
      <c r="A44" t="s">
        <v>2</v>
      </c>
      <c r="B44" s="31">
        <f t="shared" si="0"/>
        <v>44040</v>
      </c>
      <c r="C44" s="32">
        <v>72</v>
      </c>
      <c r="D44" t="s">
        <v>66</v>
      </c>
      <c r="E44">
        <v>10</v>
      </c>
      <c r="F44" t="s">
        <v>67</v>
      </c>
      <c r="G44" t="s">
        <v>68</v>
      </c>
    </row>
    <row r="45" spans="1:7" x14ac:dyDescent="0.25">
      <c r="A45" t="s">
        <v>2</v>
      </c>
      <c r="B45" s="31">
        <f t="shared" si="0"/>
        <v>44045</v>
      </c>
      <c r="C45" s="32">
        <v>72</v>
      </c>
      <c r="D45" t="s">
        <v>66</v>
      </c>
      <c r="E45">
        <v>10</v>
      </c>
      <c r="F45" t="s">
        <v>67</v>
      </c>
      <c r="G45" t="s">
        <v>68</v>
      </c>
    </row>
    <row r="46" spans="1:7" x14ac:dyDescent="0.25">
      <c r="A46" t="s">
        <v>2</v>
      </c>
      <c r="B46" s="31">
        <f t="shared" si="0"/>
        <v>44050</v>
      </c>
      <c r="C46" s="32">
        <v>72</v>
      </c>
      <c r="D46" t="s">
        <v>66</v>
      </c>
      <c r="E46">
        <v>10</v>
      </c>
      <c r="F46" t="s">
        <v>67</v>
      </c>
      <c r="G46" t="s">
        <v>68</v>
      </c>
    </row>
    <row r="47" spans="1:7" x14ac:dyDescent="0.25">
      <c r="A47" t="s">
        <v>2</v>
      </c>
      <c r="B47" s="31">
        <f t="shared" si="0"/>
        <v>44055</v>
      </c>
      <c r="C47" s="32">
        <v>72</v>
      </c>
      <c r="D47" t="s">
        <v>66</v>
      </c>
      <c r="E47">
        <v>10</v>
      </c>
      <c r="F47" t="s">
        <v>67</v>
      </c>
      <c r="G47" t="s">
        <v>68</v>
      </c>
    </row>
    <row r="48" spans="1:7" x14ac:dyDescent="0.25">
      <c r="A48" t="s">
        <v>2</v>
      </c>
      <c r="B48" s="31">
        <f t="shared" si="0"/>
        <v>44060</v>
      </c>
      <c r="C48" s="32">
        <v>72</v>
      </c>
      <c r="D48" t="s">
        <v>66</v>
      </c>
      <c r="E48">
        <v>10</v>
      </c>
      <c r="F48" t="s">
        <v>67</v>
      </c>
      <c r="G48" t="s">
        <v>68</v>
      </c>
    </row>
    <row r="49" spans="1:7" x14ac:dyDescent="0.25">
      <c r="A49" t="s">
        <v>2</v>
      </c>
      <c r="B49" s="31">
        <f t="shared" si="0"/>
        <v>44065</v>
      </c>
      <c r="C49" s="32">
        <v>72</v>
      </c>
      <c r="D49" t="s">
        <v>66</v>
      </c>
      <c r="E49">
        <v>10</v>
      </c>
      <c r="F49" t="s">
        <v>67</v>
      </c>
      <c r="G49" t="s">
        <v>68</v>
      </c>
    </row>
    <row r="50" spans="1:7" x14ac:dyDescent="0.25">
      <c r="A50" t="s">
        <v>2</v>
      </c>
      <c r="B50" s="31">
        <f t="shared" si="0"/>
        <v>44070</v>
      </c>
      <c r="C50" s="32">
        <v>72</v>
      </c>
      <c r="D50" t="s">
        <v>66</v>
      </c>
      <c r="E50">
        <v>10</v>
      </c>
      <c r="F50" t="s">
        <v>67</v>
      </c>
      <c r="G50" t="s">
        <v>68</v>
      </c>
    </row>
    <row r="51" spans="1:7" x14ac:dyDescent="0.25">
      <c r="A51" t="s">
        <v>2</v>
      </c>
      <c r="B51" s="31">
        <f t="shared" si="0"/>
        <v>44075</v>
      </c>
      <c r="C51" s="32">
        <v>72</v>
      </c>
      <c r="D51" t="s">
        <v>66</v>
      </c>
      <c r="E51">
        <v>10</v>
      </c>
      <c r="F51" t="s">
        <v>67</v>
      </c>
      <c r="G51" t="s">
        <v>68</v>
      </c>
    </row>
    <row r="52" spans="1:7" x14ac:dyDescent="0.25">
      <c r="A52" t="s">
        <v>2</v>
      </c>
      <c r="B52" s="31">
        <f t="shared" si="0"/>
        <v>44080</v>
      </c>
      <c r="C52" s="32">
        <v>72</v>
      </c>
      <c r="D52" t="s">
        <v>66</v>
      </c>
      <c r="E52">
        <v>10</v>
      </c>
      <c r="F52" t="s">
        <v>67</v>
      </c>
      <c r="G52" t="s">
        <v>68</v>
      </c>
    </row>
    <row r="53" spans="1:7" x14ac:dyDescent="0.25">
      <c r="A53" t="s">
        <v>2</v>
      </c>
      <c r="B53" s="31">
        <f t="shared" si="0"/>
        <v>44085</v>
      </c>
      <c r="C53" s="32">
        <v>72</v>
      </c>
      <c r="D53" t="s">
        <v>66</v>
      </c>
      <c r="E53">
        <v>10</v>
      </c>
      <c r="F53" t="s">
        <v>67</v>
      </c>
      <c r="G53" t="s">
        <v>68</v>
      </c>
    </row>
    <row r="54" spans="1:7" x14ac:dyDescent="0.25">
      <c r="A54" t="s">
        <v>2</v>
      </c>
      <c r="B54" s="31">
        <f t="shared" si="0"/>
        <v>44090</v>
      </c>
      <c r="C54" s="32">
        <v>72</v>
      </c>
      <c r="D54" t="s">
        <v>66</v>
      </c>
      <c r="E54">
        <v>10</v>
      </c>
      <c r="F54" t="s">
        <v>67</v>
      </c>
      <c r="G54" t="s">
        <v>68</v>
      </c>
    </row>
    <row r="55" spans="1:7" x14ac:dyDescent="0.25">
      <c r="A55" t="s">
        <v>2</v>
      </c>
      <c r="B55" s="31">
        <f t="shared" si="0"/>
        <v>44095</v>
      </c>
      <c r="C55" s="32">
        <v>72</v>
      </c>
      <c r="D55" t="s">
        <v>66</v>
      </c>
      <c r="E55">
        <v>10</v>
      </c>
      <c r="F55" t="s">
        <v>67</v>
      </c>
      <c r="G55" t="s">
        <v>68</v>
      </c>
    </row>
    <row r="56" spans="1:7" x14ac:dyDescent="0.25">
      <c r="A56" t="s">
        <v>2</v>
      </c>
      <c r="B56" s="31">
        <f t="shared" si="0"/>
        <v>44100</v>
      </c>
      <c r="C56" s="32">
        <v>72</v>
      </c>
      <c r="D56" t="s">
        <v>66</v>
      </c>
      <c r="E56">
        <v>10</v>
      </c>
      <c r="F56" t="s">
        <v>67</v>
      </c>
      <c r="G56" t="s">
        <v>68</v>
      </c>
    </row>
    <row r="57" spans="1:7" x14ac:dyDescent="0.25">
      <c r="A57" t="s">
        <v>2</v>
      </c>
      <c r="B57" s="31">
        <f t="shared" si="0"/>
        <v>44105</v>
      </c>
      <c r="C57" s="32">
        <v>72</v>
      </c>
      <c r="D57" t="s">
        <v>66</v>
      </c>
      <c r="E57">
        <v>10</v>
      </c>
      <c r="F57" t="s">
        <v>67</v>
      </c>
      <c r="G57" t="s">
        <v>68</v>
      </c>
    </row>
    <row r="58" spans="1:7" x14ac:dyDescent="0.25">
      <c r="A58" t="s">
        <v>2</v>
      </c>
      <c r="B58" s="31">
        <f>B56+5</f>
        <v>44105</v>
      </c>
      <c r="C58" s="32">
        <v>72</v>
      </c>
      <c r="D58" t="s">
        <v>66</v>
      </c>
      <c r="E58">
        <v>10</v>
      </c>
      <c r="F58" t="s">
        <v>67</v>
      </c>
      <c r="G58" t="s">
        <v>68</v>
      </c>
    </row>
    <row r="59" spans="1:7" x14ac:dyDescent="0.25">
      <c r="A59" t="s">
        <v>2</v>
      </c>
      <c r="B59" s="31">
        <f t="shared" ref="B59:B83" si="1">B57+5</f>
        <v>44110</v>
      </c>
      <c r="C59" s="32">
        <v>72</v>
      </c>
      <c r="D59" t="s">
        <v>66</v>
      </c>
      <c r="E59">
        <v>10</v>
      </c>
      <c r="F59" t="s">
        <v>67</v>
      </c>
      <c r="G59" t="s">
        <v>68</v>
      </c>
    </row>
    <row r="60" spans="1:7" x14ac:dyDescent="0.25">
      <c r="A60" t="s">
        <v>2</v>
      </c>
      <c r="B60" s="31">
        <f t="shared" si="1"/>
        <v>44110</v>
      </c>
      <c r="C60" s="32">
        <v>72</v>
      </c>
      <c r="D60" t="s">
        <v>66</v>
      </c>
      <c r="E60">
        <v>10</v>
      </c>
      <c r="F60" t="s">
        <v>67</v>
      </c>
      <c r="G60" t="s">
        <v>68</v>
      </c>
    </row>
    <row r="61" spans="1:7" x14ac:dyDescent="0.25">
      <c r="A61" t="s">
        <v>2</v>
      </c>
      <c r="B61" s="31">
        <f t="shared" si="1"/>
        <v>44115</v>
      </c>
      <c r="C61" s="32">
        <v>72</v>
      </c>
      <c r="D61" t="s">
        <v>66</v>
      </c>
      <c r="E61">
        <v>10</v>
      </c>
      <c r="F61" t="s">
        <v>67</v>
      </c>
      <c r="G61" t="s">
        <v>68</v>
      </c>
    </row>
    <row r="62" spans="1:7" x14ac:dyDescent="0.25">
      <c r="A62" t="s">
        <v>2</v>
      </c>
      <c r="B62" s="31">
        <f t="shared" si="1"/>
        <v>44115</v>
      </c>
      <c r="C62" s="32">
        <v>72</v>
      </c>
      <c r="D62" t="s">
        <v>66</v>
      </c>
      <c r="E62">
        <v>10</v>
      </c>
      <c r="F62" t="s">
        <v>67</v>
      </c>
      <c r="G62" t="s">
        <v>68</v>
      </c>
    </row>
    <row r="63" spans="1:7" x14ac:dyDescent="0.25">
      <c r="A63" t="s">
        <v>2</v>
      </c>
      <c r="B63" s="31">
        <f t="shared" si="1"/>
        <v>44120</v>
      </c>
      <c r="C63" s="32">
        <v>72</v>
      </c>
      <c r="D63" t="s">
        <v>66</v>
      </c>
      <c r="E63">
        <v>10</v>
      </c>
      <c r="F63" t="s">
        <v>67</v>
      </c>
      <c r="G63" t="s">
        <v>68</v>
      </c>
    </row>
    <row r="64" spans="1:7" x14ac:dyDescent="0.25">
      <c r="A64" t="s">
        <v>2</v>
      </c>
      <c r="B64" s="31">
        <f t="shared" si="1"/>
        <v>44120</v>
      </c>
      <c r="C64" s="32">
        <v>72</v>
      </c>
      <c r="D64" t="s">
        <v>66</v>
      </c>
      <c r="E64">
        <v>10</v>
      </c>
      <c r="F64" t="s">
        <v>67</v>
      </c>
      <c r="G64" t="s">
        <v>68</v>
      </c>
    </row>
    <row r="65" spans="1:7" x14ac:dyDescent="0.25">
      <c r="A65" t="s">
        <v>2</v>
      </c>
      <c r="B65" s="31">
        <f t="shared" si="1"/>
        <v>44125</v>
      </c>
      <c r="C65" s="32">
        <v>72</v>
      </c>
      <c r="D65" t="s">
        <v>66</v>
      </c>
      <c r="E65">
        <v>10</v>
      </c>
      <c r="F65" t="s">
        <v>67</v>
      </c>
      <c r="G65" t="s">
        <v>68</v>
      </c>
    </row>
    <row r="66" spans="1:7" x14ac:dyDescent="0.25">
      <c r="A66" t="s">
        <v>2</v>
      </c>
      <c r="B66" s="31">
        <f t="shared" si="1"/>
        <v>44125</v>
      </c>
      <c r="C66" s="32">
        <v>72</v>
      </c>
      <c r="D66" t="s">
        <v>66</v>
      </c>
      <c r="E66">
        <v>10</v>
      </c>
      <c r="F66" t="s">
        <v>67</v>
      </c>
      <c r="G66" t="s">
        <v>68</v>
      </c>
    </row>
    <row r="67" spans="1:7" x14ac:dyDescent="0.25">
      <c r="A67" t="s">
        <v>2</v>
      </c>
      <c r="B67" s="31">
        <f t="shared" si="1"/>
        <v>44130</v>
      </c>
      <c r="C67" s="32">
        <v>72</v>
      </c>
      <c r="D67" t="s">
        <v>66</v>
      </c>
      <c r="E67">
        <v>10</v>
      </c>
      <c r="F67" t="s">
        <v>67</v>
      </c>
      <c r="G67" t="s">
        <v>68</v>
      </c>
    </row>
    <row r="68" spans="1:7" x14ac:dyDescent="0.25">
      <c r="A68" t="s">
        <v>2</v>
      </c>
      <c r="B68" s="31">
        <f t="shared" si="1"/>
        <v>44130</v>
      </c>
      <c r="C68" s="32">
        <v>72</v>
      </c>
      <c r="D68" t="s">
        <v>66</v>
      </c>
      <c r="E68">
        <v>10</v>
      </c>
      <c r="F68" t="s">
        <v>67</v>
      </c>
      <c r="G68" t="s">
        <v>68</v>
      </c>
    </row>
    <row r="69" spans="1:7" x14ac:dyDescent="0.25">
      <c r="A69" t="s">
        <v>2</v>
      </c>
      <c r="B69" s="31">
        <f t="shared" si="1"/>
        <v>44135</v>
      </c>
      <c r="C69" s="32">
        <v>72</v>
      </c>
      <c r="D69" t="s">
        <v>66</v>
      </c>
      <c r="E69">
        <v>10</v>
      </c>
      <c r="F69" t="s">
        <v>67</v>
      </c>
      <c r="G69" t="s">
        <v>68</v>
      </c>
    </row>
    <row r="70" spans="1:7" x14ac:dyDescent="0.25">
      <c r="A70" t="s">
        <v>2</v>
      </c>
      <c r="B70" s="31">
        <f t="shared" si="1"/>
        <v>44135</v>
      </c>
      <c r="C70" s="32">
        <v>72</v>
      </c>
      <c r="D70" t="s">
        <v>66</v>
      </c>
      <c r="E70">
        <v>10</v>
      </c>
      <c r="F70" t="s">
        <v>67</v>
      </c>
      <c r="G70" t="s">
        <v>68</v>
      </c>
    </row>
    <row r="71" spans="1:7" x14ac:dyDescent="0.25">
      <c r="A71" t="s">
        <v>2</v>
      </c>
      <c r="B71" s="31">
        <f t="shared" si="1"/>
        <v>44140</v>
      </c>
      <c r="C71" s="32">
        <v>72</v>
      </c>
      <c r="D71" t="s">
        <v>66</v>
      </c>
      <c r="E71">
        <v>10</v>
      </c>
      <c r="F71" t="s">
        <v>67</v>
      </c>
      <c r="G71" t="s">
        <v>68</v>
      </c>
    </row>
    <row r="72" spans="1:7" x14ac:dyDescent="0.25">
      <c r="A72" t="s">
        <v>2</v>
      </c>
      <c r="B72" s="31">
        <f t="shared" si="1"/>
        <v>44140</v>
      </c>
      <c r="C72" s="32">
        <v>72</v>
      </c>
      <c r="D72" t="s">
        <v>66</v>
      </c>
      <c r="E72">
        <v>10</v>
      </c>
      <c r="F72" t="s">
        <v>67</v>
      </c>
      <c r="G72" t="s">
        <v>68</v>
      </c>
    </row>
    <row r="73" spans="1:7" x14ac:dyDescent="0.25">
      <c r="A73" t="s">
        <v>2</v>
      </c>
      <c r="B73" s="31">
        <f t="shared" si="1"/>
        <v>44145</v>
      </c>
      <c r="C73" s="32">
        <v>72</v>
      </c>
      <c r="D73" t="s">
        <v>66</v>
      </c>
      <c r="E73">
        <v>10</v>
      </c>
      <c r="F73" t="s">
        <v>67</v>
      </c>
      <c r="G73" t="s">
        <v>68</v>
      </c>
    </row>
    <row r="74" spans="1:7" x14ac:dyDescent="0.25">
      <c r="A74" t="s">
        <v>2</v>
      </c>
      <c r="B74" s="31">
        <f t="shared" si="1"/>
        <v>44145</v>
      </c>
      <c r="C74" s="32">
        <v>72</v>
      </c>
      <c r="D74" t="s">
        <v>66</v>
      </c>
      <c r="E74">
        <v>10</v>
      </c>
      <c r="F74" t="s">
        <v>67</v>
      </c>
      <c r="G74" t="s">
        <v>68</v>
      </c>
    </row>
    <row r="75" spans="1:7" x14ac:dyDescent="0.25">
      <c r="A75" t="s">
        <v>2</v>
      </c>
      <c r="B75" s="31">
        <f t="shared" si="1"/>
        <v>44150</v>
      </c>
      <c r="C75" s="32">
        <v>72</v>
      </c>
      <c r="D75" t="s">
        <v>66</v>
      </c>
      <c r="E75">
        <v>10</v>
      </c>
      <c r="F75" t="s">
        <v>67</v>
      </c>
      <c r="G75" t="s">
        <v>68</v>
      </c>
    </row>
    <row r="76" spans="1:7" x14ac:dyDescent="0.25">
      <c r="A76" t="s">
        <v>2</v>
      </c>
      <c r="B76" s="31">
        <f t="shared" si="1"/>
        <v>44150</v>
      </c>
      <c r="C76" s="32">
        <v>72</v>
      </c>
      <c r="D76" t="s">
        <v>66</v>
      </c>
      <c r="E76">
        <v>10</v>
      </c>
      <c r="F76" t="s">
        <v>67</v>
      </c>
      <c r="G76" t="s">
        <v>68</v>
      </c>
    </row>
    <row r="77" spans="1:7" x14ac:dyDescent="0.25">
      <c r="A77" t="s">
        <v>2</v>
      </c>
      <c r="B77" s="31">
        <f t="shared" si="1"/>
        <v>44155</v>
      </c>
      <c r="C77" s="32">
        <v>72</v>
      </c>
      <c r="D77" t="s">
        <v>66</v>
      </c>
      <c r="E77">
        <v>10</v>
      </c>
      <c r="F77" t="s">
        <v>67</v>
      </c>
      <c r="G77" t="s">
        <v>68</v>
      </c>
    </row>
    <row r="78" spans="1:7" x14ac:dyDescent="0.25">
      <c r="A78" t="s">
        <v>2</v>
      </c>
      <c r="B78" s="31">
        <f t="shared" si="1"/>
        <v>44155</v>
      </c>
      <c r="C78" s="32">
        <v>72</v>
      </c>
      <c r="D78" t="s">
        <v>66</v>
      </c>
      <c r="E78">
        <v>10</v>
      </c>
      <c r="F78" t="s">
        <v>67</v>
      </c>
      <c r="G78" t="s">
        <v>68</v>
      </c>
    </row>
    <row r="79" spans="1:7" x14ac:dyDescent="0.25">
      <c r="A79" t="s">
        <v>2</v>
      </c>
      <c r="B79" s="31">
        <f t="shared" si="1"/>
        <v>44160</v>
      </c>
      <c r="C79" s="32">
        <v>72</v>
      </c>
      <c r="D79" t="s">
        <v>66</v>
      </c>
      <c r="E79">
        <v>10</v>
      </c>
      <c r="F79" t="s">
        <v>67</v>
      </c>
      <c r="G79" t="s">
        <v>68</v>
      </c>
    </row>
    <row r="80" spans="1:7" x14ac:dyDescent="0.25">
      <c r="A80" t="s">
        <v>2</v>
      </c>
      <c r="B80" s="31">
        <f t="shared" si="1"/>
        <v>44160</v>
      </c>
      <c r="C80" s="32">
        <v>72</v>
      </c>
      <c r="D80" t="s">
        <v>66</v>
      </c>
      <c r="E80">
        <v>10</v>
      </c>
      <c r="F80" t="s">
        <v>67</v>
      </c>
      <c r="G80" t="s">
        <v>68</v>
      </c>
    </row>
    <row r="81" spans="1:7" x14ac:dyDescent="0.25">
      <c r="A81" t="s">
        <v>2</v>
      </c>
      <c r="B81" s="31">
        <f t="shared" si="1"/>
        <v>44165</v>
      </c>
      <c r="C81" s="32">
        <v>72</v>
      </c>
      <c r="D81" t="s">
        <v>66</v>
      </c>
      <c r="E81">
        <v>10</v>
      </c>
      <c r="F81" t="s">
        <v>67</v>
      </c>
      <c r="G81" t="s">
        <v>68</v>
      </c>
    </row>
    <row r="82" spans="1:7" x14ac:dyDescent="0.25">
      <c r="A82" t="s">
        <v>2</v>
      </c>
      <c r="B82" s="31">
        <f t="shared" si="1"/>
        <v>44165</v>
      </c>
      <c r="C82" s="32">
        <v>72</v>
      </c>
      <c r="D82" t="s">
        <v>66</v>
      </c>
      <c r="E82">
        <v>10</v>
      </c>
      <c r="F82" t="s">
        <v>67</v>
      </c>
      <c r="G82" t="s">
        <v>68</v>
      </c>
    </row>
    <row r="83" spans="1:7" x14ac:dyDescent="0.25">
      <c r="A83" t="s">
        <v>2</v>
      </c>
      <c r="B83" s="31">
        <f t="shared" si="1"/>
        <v>44170</v>
      </c>
      <c r="C83" s="32">
        <v>72</v>
      </c>
      <c r="D83" t="s">
        <v>66</v>
      </c>
      <c r="E83">
        <v>10</v>
      </c>
      <c r="F83" t="s">
        <v>67</v>
      </c>
      <c r="G83" t="s">
        <v>68</v>
      </c>
    </row>
    <row r="84" spans="1:7" x14ac:dyDescent="0.25">
      <c r="A84" t="s">
        <v>2</v>
      </c>
      <c r="B84" s="31">
        <v>31068</v>
      </c>
      <c r="C84" s="32">
        <v>1000</v>
      </c>
    </row>
    <row r="85" spans="1:7" x14ac:dyDescent="0.25">
      <c r="C85" s="32"/>
    </row>
    <row r="86" spans="1:7" x14ac:dyDescent="0.25">
      <c r="C86" s="32"/>
    </row>
    <row r="87" spans="1:7" x14ac:dyDescent="0.25">
      <c r="C87" s="32"/>
    </row>
    <row r="88" spans="1:7" x14ac:dyDescent="0.25">
      <c r="C88" s="32"/>
    </row>
  </sheetData>
  <mergeCells count="1">
    <mergeCell ref="A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1"/>
  <sheetViews>
    <sheetView workbookViewId="0">
      <selection activeCell="E16" sqref="E16"/>
    </sheetView>
  </sheetViews>
  <sheetFormatPr defaultRowHeight="15" x14ac:dyDescent="0.25"/>
  <cols>
    <col min="3" max="3" width="11.7109375" customWidth="1"/>
    <col min="6" max="6" width="10.140625" customWidth="1"/>
    <col min="12" max="12" width="10.42578125" bestFit="1" customWidth="1"/>
    <col min="14" max="14" width="12.28515625" customWidth="1"/>
  </cols>
  <sheetData>
    <row r="1" spans="1:18" x14ac:dyDescent="0.25">
      <c r="A1" s="34" t="s">
        <v>69</v>
      </c>
      <c r="B1" s="34" t="s">
        <v>70</v>
      </c>
      <c r="C1" s="34" t="s">
        <v>71</v>
      </c>
      <c r="D1" s="34" t="s">
        <v>72</v>
      </c>
      <c r="E1" s="34" t="s">
        <v>73</v>
      </c>
      <c r="F1" s="35"/>
      <c r="I1" s="121" t="s">
        <v>74</v>
      </c>
      <c r="J1" s="122"/>
      <c r="L1" s="123" t="s">
        <v>75</v>
      </c>
      <c r="M1" s="124"/>
      <c r="N1" s="124"/>
      <c r="O1" s="124"/>
      <c r="P1" s="124"/>
      <c r="Q1" s="124"/>
      <c r="R1" s="124"/>
    </row>
    <row r="2" spans="1:18" x14ac:dyDescent="0.25">
      <c r="A2" s="125" t="s">
        <v>76</v>
      </c>
      <c r="B2" s="126"/>
      <c r="C2" s="126"/>
      <c r="D2" s="126"/>
      <c r="E2" s="126"/>
      <c r="F2" s="126"/>
      <c r="G2" s="126"/>
      <c r="I2" s="36" t="s">
        <v>77</v>
      </c>
      <c r="J2" s="36" t="s">
        <v>78</v>
      </c>
      <c r="L2" s="37" t="s">
        <v>50</v>
      </c>
      <c r="M2" s="37" t="s">
        <v>32</v>
      </c>
      <c r="N2" s="37" t="s">
        <v>78</v>
      </c>
      <c r="O2" s="37" t="s">
        <v>79</v>
      </c>
      <c r="P2" s="37" t="s">
        <v>77</v>
      </c>
      <c r="Q2" s="37" t="s">
        <v>80</v>
      </c>
      <c r="R2" s="38" t="s">
        <v>81</v>
      </c>
    </row>
    <row r="3" spans="1:18" x14ac:dyDescent="0.25">
      <c r="A3" s="36" t="s">
        <v>50</v>
      </c>
      <c r="B3" s="36" t="s">
        <v>32</v>
      </c>
      <c r="C3" s="36" t="s">
        <v>78</v>
      </c>
      <c r="D3" s="36" t="s">
        <v>79</v>
      </c>
      <c r="E3" s="36" t="s">
        <v>77</v>
      </c>
      <c r="F3" s="36" t="s">
        <v>80</v>
      </c>
      <c r="G3" s="36" t="s">
        <v>81</v>
      </c>
      <c r="I3" s="37" t="s">
        <v>82</v>
      </c>
      <c r="J3" s="39" t="str">
        <f ca="1">"&lt;="&amp;TODAY()</f>
        <v>&lt;=44053</v>
      </c>
      <c r="N3" s="31"/>
      <c r="Q3" s="31"/>
    </row>
    <row r="4" spans="1:18" x14ac:dyDescent="0.25">
      <c r="A4" t="s">
        <v>1</v>
      </c>
      <c r="B4" t="s">
        <v>83</v>
      </c>
      <c r="C4" s="31">
        <v>44139</v>
      </c>
      <c r="D4">
        <v>90</v>
      </c>
      <c r="E4" t="s">
        <v>82</v>
      </c>
      <c r="F4" s="31">
        <v>44049</v>
      </c>
      <c r="G4">
        <v>4</v>
      </c>
      <c r="N4" s="31"/>
      <c r="Q4" s="31"/>
    </row>
    <row r="5" spans="1:18" x14ac:dyDescent="0.25">
      <c r="A5" t="s">
        <v>1</v>
      </c>
      <c r="B5" t="s">
        <v>84</v>
      </c>
      <c r="C5" s="31">
        <v>44139</v>
      </c>
      <c r="D5">
        <v>90</v>
      </c>
      <c r="E5" t="s">
        <v>82</v>
      </c>
      <c r="F5" s="31">
        <v>44049</v>
      </c>
      <c r="G5">
        <v>5</v>
      </c>
      <c r="N5" s="31"/>
    </row>
    <row r="6" spans="1:18" x14ac:dyDescent="0.25">
      <c r="A6" t="s">
        <v>1</v>
      </c>
      <c r="B6" t="s">
        <v>85</v>
      </c>
      <c r="C6" s="31">
        <v>44141</v>
      </c>
      <c r="D6">
        <v>90</v>
      </c>
      <c r="E6" t="s">
        <v>82</v>
      </c>
      <c r="F6" s="31">
        <v>44051</v>
      </c>
      <c r="G6">
        <v>6</v>
      </c>
      <c r="N6" s="31"/>
    </row>
    <row r="7" spans="1:18" x14ac:dyDescent="0.25">
      <c r="A7" t="s">
        <v>2</v>
      </c>
      <c r="B7" t="s">
        <v>147</v>
      </c>
      <c r="C7" s="31">
        <v>44141</v>
      </c>
      <c r="D7">
        <v>90</v>
      </c>
      <c r="E7" t="s">
        <v>82</v>
      </c>
      <c r="F7" s="31">
        <v>44051</v>
      </c>
      <c r="G7">
        <f>ROW()</f>
        <v>7</v>
      </c>
      <c r="N7" s="31"/>
    </row>
    <row r="8" spans="1:18" x14ac:dyDescent="0.25">
      <c r="A8" t="s">
        <v>3</v>
      </c>
      <c r="B8" t="s">
        <v>148</v>
      </c>
      <c r="C8" s="31">
        <v>44079</v>
      </c>
      <c r="D8">
        <v>30</v>
      </c>
      <c r="E8" t="s">
        <v>82</v>
      </c>
      <c r="F8" s="31">
        <v>44049</v>
      </c>
      <c r="G8">
        <f>ROW()</f>
        <v>8</v>
      </c>
      <c r="N8" s="31"/>
    </row>
    <row r="9" spans="1:18" x14ac:dyDescent="0.25">
      <c r="A9" t="s">
        <v>5</v>
      </c>
      <c r="B9" t="s">
        <v>149</v>
      </c>
      <c r="C9" s="31">
        <v>44079</v>
      </c>
      <c r="D9">
        <v>30</v>
      </c>
      <c r="E9" t="s">
        <v>82</v>
      </c>
      <c r="F9" s="31">
        <v>44049</v>
      </c>
      <c r="G9">
        <f>ROW()</f>
        <v>9</v>
      </c>
      <c r="N9" s="31"/>
    </row>
    <row r="21" spans="12:12" x14ac:dyDescent="0.25">
      <c r="L21" s="31"/>
    </row>
  </sheetData>
  <mergeCells count="3">
    <mergeCell ref="I1:J1"/>
    <mergeCell ref="L1:R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5"/>
  <sheetViews>
    <sheetView workbookViewId="0">
      <selection activeCell="C14" sqref="C14"/>
    </sheetView>
  </sheetViews>
  <sheetFormatPr defaultRowHeight="15" x14ac:dyDescent="0.25"/>
  <cols>
    <col min="1" max="1" width="7.7109375" bestFit="1" customWidth="1"/>
    <col min="2" max="2" width="5.28515625" bestFit="1" customWidth="1"/>
    <col min="3" max="3" width="10.42578125" bestFit="1" customWidth="1"/>
    <col min="4" max="4" width="8.140625" bestFit="1" customWidth="1"/>
    <col min="5" max="5" width="13.5703125" bestFit="1" customWidth="1"/>
  </cols>
  <sheetData>
    <row r="1" spans="1:5" x14ac:dyDescent="0.25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</row>
    <row r="2" spans="1:5" x14ac:dyDescent="0.25">
      <c r="A2" s="127" t="s">
        <v>98</v>
      </c>
      <c r="B2" s="127"/>
      <c r="C2" s="127"/>
      <c r="D2" s="127"/>
      <c r="E2" s="127"/>
    </row>
    <row r="3" spans="1:5" x14ac:dyDescent="0.25">
      <c r="A3" s="42" t="s">
        <v>50</v>
      </c>
      <c r="B3" s="42" t="s">
        <v>35</v>
      </c>
      <c r="C3" s="42" t="s">
        <v>51</v>
      </c>
      <c r="D3" s="42" t="s">
        <v>99</v>
      </c>
      <c r="E3" s="42" t="s">
        <v>37</v>
      </c>
    </row>
    <row r="4" spans="1:5" x14ac:dyDescent="0.25">
      <c r="A4" t="s">
        <v>2</v>
      </c>
      <c r="B4" t="s">
        <v>100</v>
      </c>
      <c r="C4" s="31">
        <v>43850</v>
      </c>
      <c r="D4">
        <v>151005</v>
      </c>
    </row>
    <row r="5" spans="1:5" x14ac:dyDescent="0.25">
      <c r="A5" t="s">
        <v>1</v>
      </c>
      <c r="B5" t="s">
        <v>41</v>
      </c>
      <c r="C5" s="31">
        <v>43831</v>
      </c>
      <c r="D5">
        <v>1000</v>
      </c>
      <c r="E5" t="s">
        <v>150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Vehicle Expense Tracker</vt:lpstr>
      <vt:lpstr>Vehicle List</vt:lpstr>
      <vt:lpstr>Expenses List</vt:lpstr>
      <vt:lpstr>Fuel Log</vt:lpstr>
      <vt:lpstr>Reminders</vt:lpstr>
      <vt:lpstr>Meter Tracking</vt:lpstr>
      <vt:lpstr>Reminders!Criteria</vt:lpstr>
      <vt:lpstr>Reminders!Extract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2020-08-10T10:10:24Z</dcterms:modified>
</cp:coreProperties>
</file>