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ropbox\Randy-Shared (1)\Updated Workbooks With Ads\"/>
    </mc:Choice>
  </mc:AlternateContent>
  <xr:revisionPtr revIDLastSave="0" documentId="10_ncr:8100000_{EE7B288D-EB39-4D0D-BC60-3A487450A074}" xr6:coauthVersionLast="34" xr6:coauthVersionMax="34" xr10:uidLastSave="{00000000-0000-0000-0000-000000000000}"/>
  <bookViews>
    <workbookView xWindow="480" yWindow="80" windowWidth="27800" windowHeight="14130" tabRatio="393" xr2:uid="{00000000-000D-0000-FFFF-FFFF00000000}"/>
  </bookViews>
  <sheets>
    <sheet name="Vehicle Expense Tracker" sheetId="1" r:id="rId1"/>
    <sheet name="Vehicle List" sheetId="2" r:id="rId2"/>
    <sheet name="Expenses List" sheetId="3" r:id="rId3"/>
    <sheet name="Fuel Log" sheetId="4" r:id="rId4"/>
    <sheet name="Reminders" sheetId="5" r:id="rId5"/>
    <sheet name="Meter Tracking" sheetId="6" r:id="rId6"/>
  </sheets>
  <externalReferences>
    <externalReference r:id="rId7"/>
  </externalReferences>
  <definedNames>
    <definedName name="_xlnm._FilterDatabase" localSheetId="4" hidden="1">Reminders!$A$3:$G$7</definedName>
    <definedName name="Exp_Amount">OFFSET('Expenses List'!$C$3,1,,COUNTA('Expenses List'!$C$3:$C$9999)-1,1)</definedName>
    <definedName name="Exp_Date">OFFSET('Expenses List'!$B$3,1,,COUNTA('Expenses List'!$B$3:$B$9999)-1,1)</definedName>
    <definedName name="Exp_Type">OFFSET('Expenses List'!$D$3,1,,COUNTA('Expenses List'!$D$3:$D$9999)-1,1)</definedName>
    <definedName name="Exp_Vehicle">OFFSET('Expenses List'!$A$3,1,,COUNTA('Expenses List'!$A$3:$A$9999)-1,1)</definedName>
    <definedName name="ExpenseTypes">'Vehicle Expense Tracker'!$A$19:$A$25</definedName>
    <definedName name="Fuel_Amount">OFFSET('Fuel Log'!$C$3,1,,COUNTA('Fuel Log'!$C$3:$C$999)-1,1)</definedName>
    <definedName name="Fuel_Date">OFFSET('Fuel Log'!$B$3,1,,COUNTA('Fuel Log'!$B$3:$B$999)-1,1)</definedName>
    <definedName name="Fuel_Vehicle">OFFSET('Fuel Log'!$A$3,1,,COUNTA('Fuel Log'!$A$3:$A$999)-1,1)</definedName>
    <definedName name="Vehicles">OFFSET('Vehicle List'!$A$3,1,,COUNTA('Vehicle List'!$A$3:$A$13)-1,1)</definedName>
  </definedNames>
  <calcPr calcId="162913"/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B4" i="1"/>
  <c r="J3" i="5" l="1"/>
  <c r="B5" i="4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</calcChain>
</file>

<file path=xl/sharedStrings.xml><?xml version="1.0" encoding="utf-8"?>
<sst xmlns="http://schemas.openxmlformats.org/spreadsheetml/2006/main" count="430" uniqueCount="123">
  <si>
    <t>VEHICLES</t>
  </si>
  <si>
    <t>Vehicle List</t>
  </si>
  <si>
    <t>Car 1</t>
  </si>
  <si>
    <t>Car 2</t>
  </si>
  <si>
    <t>Car 3</t>
  </si>
  <si>
    <t>Car 4</t>
  </si>
  <si>
    <t>Car 5</t>
  </si>
  <si>
    <t>Car 6</t>
  </si>
  <si>
    <t>Sel. Tab</t>
  </si>
  <si>
    <t>Picture</t>
  </si>
  <si>
    <t>Make</t>
  </si>
  <si>
    <t>Model</t>
  </si>
  <si>
    <t>Type</t>
  </si>
  <si>
    <t>Seats</t>
  </si>
  <si>
    <t>Vehicle Picture</t>
  </si>
  <si>
    <t>REPAIRS &amp; EXPENSES</t>
  </si>
  <si>
    <t>Date</t>
  </si>
  <si>
    <t>Amount</t>
  </si>
  <si>
    <t>Vehicle</t>
  </si>
  <si>
    <t>Notes</t>
  </si>
  <si>
    <t>Exp. Type</t>
  </si>
  <si>
    <t>Name</t>
  </si>
  <si>
    <t>F6</t>
  </si>
  <si>
    <t>Plate #</t>
  </si>
  <si>
    <t>FUEL PURCHASES &amp; TRACKING</t>
  </si>
  <si>
    <t>Liters</t>
  </si>
  <si>
    <t>REMINDERS</t>
  </si>
  <si>
    <t>Next Date</t>
  </si>
  <si>
    <t>Last Date</t>
  </si>
  <si>
    <t>Oil Change</t>
  </si>
  <si>
    <t>METER TRACKING</t>
  </si>
  <si>
    <t>VEHICLE DASHBOARD</t>
  </si>
  <si>
    <t>Sedan</t>
  </si>
  <si>
    <t>Toyota</t>
  </si>
  <si>
    <t>Camry</t>
  </si>
  <si>
    <t>Test Car Notes</t>
  </si>
  <si>
    <t>H6</t>
  </si>
  <si>
    <t>F8</t>
  </si>
  <si>
    <t>H8</t>
  </si>
  <si>
    <t>F10</t>
  </si>
  <si>
    <t>H10</t>
  </si>
  <si>
    <t>F12</t>
  </si>
  <si>
    <t>J13</t>
  </si>
  <si>
    <t>C:\Users\neilr\Dropbox\Excel4Freelancers\FreeTrainingVideos\Vehicle Expense Tracker\Car3.png</t>
  </si>
  <si>
    <t>Oil</t>
  </si>
  <si>
    <t>Tires</t>
  </si>
  <si>
    <t>Repairs</t>
  </si>
  <si>
    <t>Cleaning</t>
  </si>
  <si>
    <t>Expenses</t>
  </si>
  <si>
    <t>Vendor</t>
  </si>
  <si>
    <t>F19</t>
  </si>
  <si>
    <t>H19</t>
  </si>
  <si>
    <t>J19</t>
  </si>
  <si>
    <t>F21</t>
  </si>
  <si>
    <t>H21</t>
  </si>
  <si>
    <t>F23</t>
  </si>
  <si>
    <t>Fred's Garage</t>
  </si>
  <si>
    <t>J32</t>
  </si>
  <si>
    <t>F34</t>
  </si>
  <si>
    <t>H34</t>
  </si>
  <si>
    <t>J34</t>
  </si>
  <si>
    <t>F36</t>
  </si>
  <si>
    <t>Unit</t>
  </si>
  <si>
    <t>Qty</t>
  </si>
  <si>
    <t>Station</t>
  </si>
  <si>
    <t>Fuel Purchases</t>
  </si>
  <si>
    <t>Test notes</t>
  </si>
  <si>
    <t>Freds Gas</t>
  </si>
  <si>
    <t>Test Gas Notes</t>
  </si>
  <si>
    <t>F32</t>
  </si>
  <si>
    <t>H32</t>
  </si>
  <si>
    <t>Status</t>
  </si>
  <si>
    <t>Active</t>
  </si>
  <si>
    <t>F45</t>
  </si>
  <si>
    <t>H45</t>
  </si>
  <si>
    <t>J45</t>
  </si>
  <si>
    <t>F47</t>
  </si>
  <si>
    <t>J47</t>
  </si>
  <si>
    <t>Reminders</t>
  </si>
  <si>
    <t>Freq.</t>
  </si>
  <si>
    <t>Criteria</t>
  </si>
  <si>
    <t>Results</t>
  </si>
  <si>
    <t>KM</t>
  </si>
  <si>
    <t>Reading</t>
  </si>
  <si>
    <t>F63</t>
  </si>
  <si>
    <t>H63</t>
  </si>
  <si>
    <t>J63</t>
  </si>
  <si>
    <t>F65</t>
  </si>
  <si>
    <t>F67</t>
  </si>
  <si>
    <t>Meter Tracking</t>
  </si>
  <si>
    <t>Toll Fees</t>
  </si>
  <si>
    <t>Row</t>
  </si>
  <si>
    <t>Tire Check</t>
  </si>
  <si>
    <t>Fluid Check</t>
  </si>
  <si>
    <t>Sel. Car</t>
  </si>
  <si>
    <t>Vehicle:</t>
  </si>
  <si>
    <t>Date:</t>
  </si>
  <si>
    <t>Amount:</t>
  </si>
  <si>
    <t>Expense Type:</t>
  </si>
  <si>
    <t>Vendor:</t>
  </si>
  <si>
    <t>Notes:</t>
  </si>
  <si>
    <t>Unit:</t>
  </si>
  <si>
    <t>Qty:</t>
  </si>
  <si>
    <t>Station:</t>
  </si>
  <si>
    <t>Name:</t>
  </si>
  <si>
    <t>Next Date:</t>
  </si>
  <si>
    <t>Every:</t>
  </si>
  <si>
    <t>days</t>
  </si>
  <si>
    <t>Status:</t>
  </si>
  <si>
    <t>Frequency</t>
  </si>
  <si>
    <t>Type:</t>
  </si>
  <si>
    <t>Reading:</t>
  </si>
  <si>
    <t>From:</t>
  </si>
  <si>
    <t>To:</t>
  </si>
  <si>
    <t>VEHICLE EXPENSE TRACKER</t>
  </si>
  <si>
    <t>Veh Db Row</t>
  </si>
  <si>
    <t>New Veh</t>
  </si>
  <si>
    <t xml:space="preserve">Car Load </t>
  </si>
  <si>
    <t xml:space="preserve"> </t>
  </si>
  <si>
    <t>Car 7</t>
  </si>
  <si>
    <t>New</t>
  </si>
  <si>
    <t>Test Nots</t>
  </si>
  <si>
    <t>C:\Users\neilr\Dropbox\Excel4Freelancers\FreeTrainingVideos\Vehicle Expense Tracker\Car1.png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</si>
</sst>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33CC"/>
      <name val="Calibri"/>
      <family val="2"/>
      <scheme val="minor"/>
    </font>
    <font>
      <sz val="22"/>
      <color rgb="FF0033CC"/>
      <name val="Arial Rounded MT Bold"/>
      <family val="2"/>
    </font>
    <font>
      <b/>
      <sz val="16"/>
      <color rgb="FF0033CC"/>
      <name val="Calibri"/>
      <family val="2"/>
      <scheme val="minor"/>
    </font>
  </fonts>
  <fills count="18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18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/>
      <top style="thin">
        <color rgb="FF0033CC"/>
      </top>
      <bottom/>
      <diagonal/>
    </border>
    <border>
      <left/>
      <right/>
      <top style="thin">
        <color rgb="FF0033CC"/>
      </top>
      <bottom/>
      <diagonal/>
    </border>
    <border>
      <left/>
      <right style="thin">
        <color rgb="FF0033CC"/>
      </right>
      <top style="thin">
        <color rgb="FF0033CC"/>
      </top>
      <bottom/>
      <diagonal/>
    </border>
    <border>
      <left style="thin">
        <color rgb="FF0033CC"/>
      </left>
      <right/>
      <top/>
      <bottom/>
      <diagonal/>
    </border>
    <border>
      <left/>
      <right style="thin">
        <color rgb="FF0033CC"/>
      </right>
      <top/>
      <bottom/>
      <diagonal/>
    </border>
    <border>
      <left/>
      <right/>
      <top/>
      <bottom style="thin">
        <color rgb="FF0033CC"/>
      </bottom>
      <diagonal/>
    </border>
    <border>
      <left/>
      <right style="thin">
        <color rgb="FF0033CC"/>
      </right>
      <top/>
      <bottom style="thin">
        <color rgb="FF0033CC"/>
      </bottom>
      <diagonal/>
    </border>
    <border>
      <left style="thin">
        <color rgb="FF0033CC"/>
      </left>
      <right/>
      <top/>
      <bottom style="thin">
        <color rgb="FF0033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hair">
        <color theme="4" tint="-0.24994659260841701"/>
      </left>
      <right style="hair">
        <color theme="4" tint="-0.2499465926084170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 style="hair">
        <color theme="4" tint="-0.2499465926084170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rgb="FF0033CC"/>
      </left>
      <right/>
      <top style="thin">
        <color rgb="FF0033CC"/>
      </top>
      <bottom style="thin">
        <color rgb="FF0033CC"/>
      </bottom>
      <diagonal/>
    </border>
    <border>
      <left/>
      <right/>
      <top style="thin">
        <color rgb="FF0033CC"/>
      </top>
      <bottom style="thin">
        <color rgb="FF0033CC"/>
      </bottom>
      <diagonal/>
    </border>
    <border>
      <left/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hair">
        <color rgb="FF0033CC"/>
      </left>
      <right style="hair">
        <color rgb="FF0033CC"/>
      </right>
      <top style="thin">
        <color rgb="FF0033CC"/>
      </top>
      <bottom/>
      <diagonal/>
    </border>
    <border>
      <left style="hair">
        <color rgb="FF0033CC"/>
      </left>
      <right style="hair">
        <color rgb="FF0033CC"/>
      </right>
      <top/>
      <bottom/>
      <diagonal/>
    </border>
    <border>
      <left style="hair">
        <color rgb="FF0033CC"/>
      </left>
      <right style="hair">
        <color rgb="FF0033CC"/>
      </right>
      <top/>
      <bottom style="thin">
        <color rgb="FF0033CC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3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0" xfId="0" applyFill="1" applyBorder="1" applyAlignment="1">
      <alignment horizontal="right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7" borderId="1" xfId="0" applyFill="1" applyBorder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Fill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0" fillId="9" borderId="12" xfId="0" applyFont="1" applyFill="1" applyBorder="1"/>
    <xf numFmtId="0" fontId="0" fillId="9" borderId="13" xfId="0" applyFont="1" applyFill="1" applyBorder="1"/>
    <xf numFmtId="0" fontId="0" fillId="9" borderId="15" xfId="0" applyFont="1" applyFill="1" applyBorder="1"/>
    <xf numFmtId="0" fontId="0" fillId="0" borderId="12" xfId="0" applyFont="1" applyBorder="1"/>
    <xf numFmtId="0" fontId="0" fillId="0" borderId="13" xfId="0" applyFont="1" applyBorder="1"/>
    <xf numFmtId="0" fontId="0" fillId="0" borderId="15" xfId="0" applyFont="1" applyBorder="1"/>
    <xf numFmtId="0" fontId="0" fillId="0" borderId="16" xfId="0" applyFont="1" applyBorder="1"/>
    <xf numFmtId="0" fontId="0" fillId="4" borderId="17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14" fontId="0" fillId="0" borderId="0" xfId="0" applyNumberFormat="1"/>
    <xf numFmtId="0" fontId="0" fillId="4" borderId="18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4" fontId="0" fillId="0" borderId="0" xfId="1" applyFont="1"/>
    <xf numFmtId="0" fontId="0" fillId="15" borderId="17" xfId="0" applyFill="1" applyBorder="1"/>
    <xf numFmtId="0" fontId="0" fillId="15" borderId="18" xfId="0" applyFill="1" applyBorder="1" applyAlignment="1">
      <alignment horizontal="center"/>
    </xf>
    <xf numFmtId="0" fontId="0" fillId="7" borderId="5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2" borderId="0" xfId="0" applyFill="1"/>
    <xf numFmtId="0" fontId="0" fillId="16" borderId="1" xfId="0" applyFill="1" applyBorder="1"/>
    <xf numFmtId="0" fontId="3" fillId="2" borderId="1" xfId="0" applyFont="1" applyFill="1" applyBorder="1" applyAlignment="1">
      <alignment horizontal="center"/>
    </xf>
    <xf numFmtId="14" fontId="0" fillId="7" borderId="1" xfId="0" applyNumberFormat="1" applyFill="1" applyBorder="1"/>
    <xf numFmtId="44" fontId="0" fillId="7" borderId="1" xfId="1" applyFont="1" applyFill="1" applyBorder="1"/>
    <xf numFmtId="16" fontId="0" fillId="7" borderId="1" xfId="0" applyNumberFormat="1" applyFill="1" applyBorder="1"/>
    <xf numFmtId="0" fontId="0" fillId="6" borderId="0" xfId="0" applyFill="1" applyBorder="1" applyAlignment="1">
      <alignment horizontal="left"/>
    </xf>
    <xf numFmtId="0" fontId="0" fillId="2" borderId="1" xfId="0" applyFill="1" applyBorder="1" applyAlignment="1">
      <alignment horizontal="center" vertical="top"/>
    </xf>
    <xf numFmtId="0" fontId="0" fillId="7" borderId="5" xfId="0" applyFill="1" applyBorder="1" applyAlignment="1">
      <alignment horizontal="center" vertical="top"/>
    </xf>
    <xf numFmtId="0" fontId="0" fillId="7" borderId="29" xfId="0" applyFill="1" applyBorder="1" applyAlignment="1">
      <alignment horizontal="center" vertical="top"/>
    </xf>
    <xf numFmtId="14" fontId="0" fillId="7" borderId="29" xfId="0" applyNumberFormat="1" applyFill="1" applyBorder="1" applyAlignment="1">
      <alignment horizontal="center" vertical="top"/>
    </xf>
    <xf numFmtId="0" fontId="0" fillId="7" borderId="6" xfId="0" applyFill="1" applyBorder="1" applyAlignment="1">
      <alignment horizontal="center" vertical="top"/>
    </xf>
    <xf numFmtId="0" fontId="0" fillId="7" borderId="30" xfId="0" applyFill="1" applyBorder="1" applyAlignment="1">
      <alignment horizontal="left" vertical="top"/>
    </xf>
    <xf numFmtId="0" fontId="0" fillId="7" borderId="31" xfId="0" applyFill="1" applyBorder="1" applyAlignment="1">
      <alignment horizontal="left" vertical="top"/>
    </xf>
    <xf numFmtId="164" fontId="0" fillId="7" borderId="1" xfId="2" applyNumberFormat="1" applyFont="1" applyFill="1" applyBorder="1"/>
    <xf numFmtId="14" fontId="0" fillId="6" borderId="0" xfId="0" applyNumberFormat="1" applyFill="1" applyBorder="1" applyAlignment="1">
      <alignment horizontal="right"/>
    </xf>
    <xf numFmtId="0" fontId="0" fillId="4" borderId="0" xfId="0" applyFill="1" applyAlignment="1"/>
    <xf numFmtId="0" fontId="0" fillId="17" borderId="0" xfId="0" applyFill="1"/>
    <xf numFmtId="0" fontId="0" fillId="17" borderId="0" xfId="0" applyFill="1" applyAlignment="1">
      <alignment horizontal="left"/>
    </xf>
    <xf numFmtId="0" fontId="8" fillId="6" borderId="0" xfId="0" applyFont="1" applyFill="1" applyBorder="1" applyAlignment="1">
      <alignment horizontal="center"/>
    </xf>
    <xf numFmtId="0" fontId="0" fillId="7" borderId="2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6" fillId="6" borderId="3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0" fillId="7" borderId="26" xfId="0" applyFill="1" applyBorder="1" applyAlignment="1">
      <alignment horizontal="left"/>
    </xf>
    <xf numFmtId="0" fontId="0" fillId="7" borderId="27" xfId="0" applyFill="1" applyBorder="1" applyAlignment="1">
      <alignment horizontal="left"/>
    </xf>
    <xf numFmtId="0" fontId="0" fillId="7" borderId="28" xfId="0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5" fillId="12" borderId="17" xfId="0" applyFont="1" applyFill="1" applyBorder="1" applyAlignment="1">
      <alignment horizontal="center"/>
    </xf>
    <xf numFmtId="0" fontId="5" fillId="13" borderId="20" xfId="0" applyFont="1" applyFill="1" applyBorder="1" applyAlignment="1">
      <alignment horizontal="center"/>
    </xf>
    <xf numFmtId="0" fontId="5" fillId="13" borderId="21" xfId="0" applyFont="1" applyFill="1" applyBorder="1" applyAlignment="1">
      <alignment horizontal="center"/>
    </xf>
    <xf numFmtId="0" fontId="5" fillId="13" borderId="22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</cellXfs>
  <cellStyles count="3">
    <cellStyle name="Comma" xfId="2" builtinId="3"/>
    <cellStyle name="Currency" xfId="1" builtinId="4"/>
    <cellStyle name="Normal" xfId="0" builtinId="0"/>
  </cellStyles>
  <dxfs count="8"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33CC"/>
        </left>
        <right style="thin">
          <color rgb="FF0033CC"/>
        </right>
        <bottom/>
        <vertical/>
        <horizontal/>
      </border>
    </dxf>
  </dxfs>
  <tableStyles count="0" defaultTableStyle="TableStyleMedium2" defaultPivotStyle="PivotStyleLight16"/>
  <colors>
    <mruColors>
      <color rgb="FF0033CC"/>
      <color rgb="FFFFFF99"/>
      <color rgb="FFE7EE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file:///C:\Users\neilr\Dropbox\Excel4Freelancers\FreeTrainingVideos\Vehicle%20Expense%20Tracker\Car3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hyperlink" Target="https://bit.ly/100WKBK-FreeWkbk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583350</xdr:colOff>
      <xdr:row>0</xdr:row>
      <xdr:rowOff>0</xdr:rowOff>
    </xdr:from>
    <xdr:to>
      <xdr:col>4</xdr:col>
      <xdr:colOff>21375</xdr:colOff>
      <xdr:row>1</xdr:row>
      <xdr:rowOff>123825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1175" y="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1066799</xdr:colOff>
      <xdr:row>1</xdr:row>
      <xdr:rowOff>38099</xdr:rowOff>
    </xdr:from>
    <xdr:to>
      <xdr:col>10</xdr:col>
      <xdr:colOff>11810</xdr:colOff>
      <xdr:row>1</xdr:row>
      <xdr:rowOff>718547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2762249" y="419099"/>
          <a:ext cx="5428361" cy="680448"/>
          <a:chOff x="2714624" y="523874"/>
          <a:chExt cx="5145786" cy="680448"/>
        </a:xfrm>
      </xdr:grpSpPr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5286374" y="523874"/>
            <a:ext cx="859536" cy="676656"/>
            <a:chOff x="5476874" y="314324"/>
            <a:chExt cx="859536" cy="676656"/>
          </a:xfrm>
        </xdr:grpSpPr>
        <xdr:sp macro="[0]!Tab_Reminders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SpPr/>
          </xdr:nvSpPr>
          <xdr:spPr>
            <a:xfrm>
              <a:off x="5476874" y="314324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minders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32322" y="378332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2714624" y="523874"/>
            <a:ext cx="859536" cy="676656"/>
            <a:chOff x="2733674" y="390524"/>
            <a:chExt cx="859536" cy="676656"/>
          </a:xfrm>
        </xdr:grpSpPr>
        <xdr:sp macro="[0]!Tab_Vehicle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2733674" y="390524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Vehicle"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89122" y="454532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4429124" y="523874"/>
            <a:ext cx="859536" cy="676656"/>
            <a:chOff x="4629149" y="400049"/>
            <a:chExt cx="859536" cy="676656"/>
          </a:xfrm>
        </xdr:grpSpPr>
        <xdr:sp macro="[0]!Tab_Fuel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SpPr/>
          </xdr:nvSpPr>
          <xdr:spPr>
            <a:xfrm>
              <a:off x="4629149" y="40004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Fuel"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84597" y="464057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3571874" y="527666"/>
            <a:ext cx="859536" cy="676656"/>
            <a:chOff x="3762374" y="375266"/>
            <a:chExt cx="859536" cy="676656"/>
          </a:xfrm>
        </xdr:grpSpPr>
        <xdr:sp macro="[0]!Tab_Repairs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3762374" y="375266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pairs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17822" y="439274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7000874" y="523874"/>
            <a:ext cx="859536" cy="676656"/>
            <a:chOff x="7419974" y="380999"/>
            <a:chExt cx="859536" cy="676656"/>
          </a:xfrm>
        </xdr:grpSpPr>
        <xdr:sp macro="[0]!Tab_Dashboard" textlink="">
          <xdr:nvSpPr>
            <xdr:cNvPr id="70" name="Rectangle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/>
          </xdr:nvSpPr>
          <xdr:spPr>
            <a:xfrm>
              <a:off x="7419974" y="38099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Dashboard"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75422" y="445007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6143624" y="523874"/>
            <a:ext cx="859536" cy="676656"/>
            <a:chOff x="6457949" y="457199"/>
            <a:chExt cx="859536" cy="676656"/>
          </a:xfrm>
        </xdr:grpSpPr>
        <xdr:sp macro="[0]!Tab_Meter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/>
          </xdr:nvSpPr>
          <xdr:spPr>
            <a:xfrm>
              <a:off x="6457949" y="45719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Meter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84849" y="521207"/>
              <a:ext cx="605736" cy="54864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9</xdr:col>
      <xdr:colOff>0</xdr:colOff>
      <xdr:row>11</xdr:row>
      <xdr:rowOff>185737</xdr:rowOff>
    </xdr:from>
    <xdr:to>
      <xdr:col>10</xdr:col>
      <xdr:colOff>1047749</xdr:colOff>
      <xdr:row>13</xdr:row>
      <xdr:rowOff>186118</xdr:rowOff>
    </xdr:to>
    <xdr:grpSp>
      <xdr:nvGrpSpPr>
        <xdr:cNvPr id="2" name="VehicleGr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289800" y="2998787"/>
          <a:ext cx="1936749" cy="368681"/>
          <a:chOff x="7000875" y="3052762"/>
          <a:chExt cx="1895474" cy="381381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8067675" y="3052762"/>
            <a:ext cx="828674" cy="381381"/>
            <a:chOff x="8077200" y="3052762"/>
            <a:chExt cx="828674" cy="381381"/>
          </a:xfrm>
        </xdr:grpSpPr>
        <xdr:sp macro="[0]!Vehicle_ClearPic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8077200" y="3052762"/>
              <a:ext cx="828674" cy="381381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>
                  <a:solidFill>
                    <a:srgbClr val="0033CC"/>
                  </a:solidFill>
                </a:rPr>
                <a:t>Clear</a:t>
              </a:r>
            </a:p>
          </xdr:txBody>
        </xdr:sp>
        <xdr:pic macro="[0]!Vehicle_ClearPic"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22350" y="3106292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7000875" y="3052762"/>
            <a:ext cx="1066799" cy="381381"/>
            <a:chOff x="7000875" y="3052762"/>
            <a:chExt cx="1066799" cy="381381"/>
          </a:xfrm>
        </xdr:grpSpPr>
        <xdr:sp macro="[0]!Vehicle_AddPic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SpPr/>
          </xdr:nvSpPr>
          <xdr:spPr>
            <a:xfrm>
              <a:off x="7010399" y="3052762"/>
              <a:ext cx="1057275" cy="381381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>
                  <a:solidFill>
                    <a:srgbClr val="0033CC"/>
                  </a:solidFill>
                </a:rPr>
                <a:t>Add Picture</a:t>
              </a:r>
            </a:p>
          </xdr:txBody>
        </xdr:sp>
        <xdr:pic macro="[0]!Vehicle_AddPic"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00875" y="3106292"/>
              <a:ext cx="274320" cy="27432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16</xdr:row>
      <xdr:rowOff>133375</xdr:rowOff>
    </xdr:from>
    <xdr:to>
      <xdr:col>5</xdr:col>
      <xdr:colOff>752475</xdr:colOff>
      <xdr:row>92</xdr:row>
      <xdr:rowOff>7349</xdr:rowOff>
    </xdr:to>
    <xdr:grpSp>
      <xdr:nvGrpSpPr>
        <xdr:cNvPr id="30" name="RepairsGrp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47835" y="3733800"/>
          <a:ext cx="2513040" cy="559799"/>
          <a:chOff x="1757335" y="3981239"/>
          <a:chExt cx="2424140" cy="577426"/>
        </a:xfrm>
      </xdr:grpSpPr>
      <xdr:pic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40100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32" name="SaveExpBtn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3038475" y="3981239"/>
            <a:ext cx="1143000" cy="228600"/>
            <a:chOff x="6429375" y="4066964"/>
            <a:chExt cx="1143000" cy="228600"/>
          </a:xfrm>
        </xdr:grpSpPr>
        <xdr:sp macro="[1]!Expense_Save" textlink="">
          <xdr:nvSpPr>
            <xdr:cNvPr id="33" name="Rectangle 32" hidden="1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6429375" y="4066964"/>
              <a:ext cx="11430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Expense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Expense_Save">
          <xdr:nvPicPr>
            <xdr:cNvPr id="37" name="Picture 36" hidden="1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57950" y="4098967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29</xdr:row>
      <xdr:rowOff>133349</xdr:rowOff>
    </xdr:from>
    <xdr:to>
      <xdr:col>5</xdr:col>
      <xdr:colOff>542925</xdr:colOff>
      <xdr:row>92</xdr:row>
      <xdr:rowOff>81916</xdr:rowOff>
    </xdr:to>
    <xdr:grpSp>
      <xdr:nvGrpSpPr>
        <xdr:cNvPr id="45" name="FuelGrp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1947835" y="3733800"/>
          <a:ext cx="2303490" cy="634366"/>
          <a:chOff x="1757335" y="6534149"/>
          <a:chExt cx="2214590" cy="653416"/>
        </a:xfrm>
      </xdr:grpSpPr>
      <xdr:pic>
        <xdr:nvPicPr>
          <xdr:cNvPr id="46" name="Picture 45" hidden="1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66389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" name="SaveFuelBtn" hidden="1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3057525" y="6534149"/>
            <a:ext cx="914400" cy="228600"/>
            <a:chOff x="6448425" y="4038599"/>
            <a:chExt cx="914400" cy="228600"/>
          </a:xfrm>
        </xdr:grpSpPr>
        <xdr:sp macro="[1]!Fuel_Save" textlink="">
          <xdr:nvSpPr>
            <xdr:cNvPr id="48" name="Rectangle 47" hidden="1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6448425" y="4038599"/>
              <a:ext cx="9144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Fuel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Fuel_Save">
          <xdr:nvPicPr>
            <xdr:cNvPr id="49" name="Picture 48" hidden="1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77000" y="4070603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219075</xdr:colOff>
      <xdr:row>42</xdr:row>
      <xdr:rowOff>114299</xdr:rowOff>
    </xdr:from>
    <xdr:to>
      <xdr:col>10</xdr:col>
      <xdr:colOff>417195</xdr:colOff>
      <xdr:row>92</xdr:row>
      <xdr:rowOff>43816</xdr:rowOff>
    </xdr:to>
    <xdr:grpSp>
      <xdr:nvGrpSpPr>
        <xdr:cNvPr id="50" name="RemindersGrp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914525" y="3733800"/>
          <a:ext cx="6681470" cy="596266"/>
          <a:chOff x="1866900" y="1409699"/>
          <a:chExt cx="6398895" cy="615316"/>
        </a:xfrm>
      </xdr:grpSpPr>
      <xdr:pic>
        <xdr:nvPicPr>
          <xdr:cNvPr id="51" name="Pictur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66900" y="147637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2" name="SaveRemBtn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3143250" y="1409699"/>
            <a:ext cx="5122545" cy="238125"/>
            <a:chOff x="6372225" y="4076699"/>
            <a:chExt cx="5122545" cy="238125"/>
          </a:xfrm>
        </xdr:grpSpPr>
        <xdr:sp macro="[1]!Reminder_Save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6372225" y="4076699"/>
              <a:ext cx="128016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Reminder_Save">
          <xdr:nvPicPr>
            <xdr:cNvPr id="55" name="Picture 54" hidden="1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00800" y="4108703"/>
              <a:ext cx="164592" cy="164592"/>
            </a:xfrm>
            <a:prstGeom prst="rect">
              <a:avLst/>
            </a:prstGeom>
          </xdr:spPr>
        </xdr:pic>
        <xdr:sp macro="[1]!CheckForReminders" textlink="">
          <xdr:nvSpPr>
            <xdr:cNvPr id="56" name="Rectangle 55" hidden="1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9848850" y="4086224"/>
              <a:ext cx="164592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Check For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Reminders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</xdr:grpSp>
      <xdr:pic macro="[1]!CheckForReminders">
        <xdr:nvPicPr>
          <xdr:cNvPr id="53" name="Picture 52" hidden="1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00" y="1457325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223838</xdr:colOff>
      <xdr:row>60</xdr:row>
      <xdr:rowOff>95249</xdr:rowOff>
    </xdr:from>
    <xdr:to>
      <xdr:col>6</xdr:col>
      <xdr:colOff>68580</xdr:colOff>
      <xdr:row>92</xdr:row>
      <xdr:rowOff>129541</xdr:rowOff>
    </xdr:to>
    <xdr:grpSp>
      <xdr:nvGrpSpPr>
        <xdr:cNvPr id="57" name="MeterGrp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919288" y="3733800"/>
          <a:ext cx="2753042" cy="681991"/>
          <a:chOff x="1728788" y="11601449"/>
          <a:chExt cx="2626042" cy="701041"/>
        </a:xfrm>
      </xdr:grpSpPr>
      <xdr:pic>
        <xdr:nvPicPr>
          <xdr:cNvPr id="58" name="Pictur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788" y="11753850"/>
            <a:ext cx="605735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9" name="SaveMeterBtn" hidden="1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2800350" y="11601449"/>
            <a:ext cx="1554480" cy="228600"/>
            <a:chOff x="6181725" y="4038599"/>
            <a:chExt cx="1554480" cy="228600"/>
          </a:xfrm>
        </xdr:grpSpPr>
        <xdr:sp macro="[1]!MeterTrack_Save" textlink="">
          <xdr:nvSpPr>
            <xdr:cNvPr id="60" name="Rectangle 59" hidden="1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6181725" y="4038599"/>
              <a:ext cx="155448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Meter Reading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MeterTrack_Save">
          <xdr:nvPicPr>
            <xdr:cNvPr id="61" name="Picture 60" hidden="1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10300" y="4070603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73</xdr:row>
      <xdr:rowOff>247650</xdr:rowOff>
    </xdr:from>
    <xdr:to>
      <xdr:col>3</xdr:col>
      <xdr:colOff>801025</xdr:colOff>
      <xdr:row>91</xdr:row>
      <xdr:rowOff>167640</xdr:rowOff>
    </xdr:to>
    <xdr:pic>
      <xdr:nvPicPr>
        <xdr:cNvPr id="62" name="DashboardGrp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0210" y="15259050"/>
          <a:ext cx="548640" cy="548640"/>
        </a:xfrm>
        <a:prstGeom prst="rect">
          <a:avLst/>
        </a:prstGeom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161925</xdr:colOff>
      <xdr:row>16</xdr:row>
      <xdr:rowOff>104775</xdr:rowOff>
    </xdr:from>
    <xdr:to>
      <xdr:col>5</xdr:col>
      <xdr:colOff>662015</xdr:colOff>
      <xdr:row>92</xdr:row>
      <xdr:rowOff>7349</xdr:rowOff>
    </xdr:to>
    <xdr:grpSp>
      <xdr:nvGrpSpPr>
        <xdr:cNvPr id="64" name="RepairGrp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1857375" y="3733800"/>
          <a:ext cx="2513040" cy="559799"/>
          <a:chOff x="1757335" y="3981239"/>
          <a:chExt cx="2424140" cy="577426"/>
        </a:xfrm>
      </xdr:grpSpPr>
      <xdr:pic>
        <xdr:nvPicPr>
          <xdr:cNvPr id="65" name="Picture 64" hidden="1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40100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71" name="SaveExpBtn" hidden="1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GrpSpPr/>
        </xdr:nvGrpSpPr>
        <xdr:grpSpPr>
          <a:xfrm>
            <a:off x="3038475" y="3981239"/>
            <a:ext cx="1143000" cy="228600"/>
            <a:chOff x="6429375" y="4066964"/>
            <a:chExt cx="1143000" cy="228600"/>
          </a:xfrm>
        </xdr:grpSpPr>
        <xdr:sp macro="" textlink="">
          <xdr:nvSpPr>
            <xdr:cNvPr id="72" name="Rectangle 71" hidden="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SpPr/>
          </xdr:nvSpPr>
          <xdr:spPr>
            <a:xfrm>
              <a:off x="6429375" y="4066964"/>
              <a:ext cx="11430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Expense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>
          <xdr:nvPicPr>
            <xdr:cNvPr id="73" name="Picture 72" hidden="1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57950" y="4098967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133350</xdr:colOff>
      <xdr:row>42</xdr:row>
      <xdr:rowOff>133350</xdr:rowOff>
    </xdr:from>
    <xdr:to>
      <xdr:col>10</xdr:col>
      <xdr:colOff>331470</xdr:colOff>
      <xdr:row>92</xdr:row>
      <xdr:rowOff>43816</xdr:rowOff>
    </xdr:to>
    <xdr:grpSp>
      <xdr:nvGrpSpPr>
        <xdr:cNvPr id="80" name="ReminderGrp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1828800" y="3733800"/>
          <a:ext cx="6681470" cy="596266"/>
          <a:chOff x="1866900" y="1409699"/>
          <a:chExt cx="6398895" cy="615316"/>
        </a:xfrm>
      </xdr:grpSpPr>
      <xdr:pic>
        <xdr:nvPicPr>
          <xdr:cNvPr id="81" name="Picture 80" hidden="1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66900" y="147637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2" name="SaveRemBtn" hidden="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GrpSpPr/>
        </xdr:nvGrpSpPr>
        <xdr:grpSpPr>
          <a:xfrm>
            <a:off x="3143250" y="1409699"/>
            <a:ext cx="5122545" cy="238125"/>
            <a:chOff x="6372225" y="4076699"/>
            <a:chExt cx="5122545" cy="238125"/>
          </a:xfrm>
        </xdr:grpSpPr>
        <xdr:sp macro="" textlink="">
          <xdr:nvSpPr>
            <xdr:cNvPr id="84" name="Rectangle 83" hidden="1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6372225" y="4076699"/>
              <a:ext cx="128016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>
          <xdr:nvPicPr>
            <xdr:cNvPr id="85" name="Picture 84" hidden="1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00800" y="4108703"/>
              <a:ext cx="164592" cy="164592"/>
            </a:xfrm>
            <a:prstGeom prst="rect">
              <a:avLst/>
            </a:prstGeom>
          </xdr:spPr>
        </xdr:pic>
        <xdr:sp macro="" textlink="">
          <xdr:nvSpPr>
            <xdr:cNvPr id="86" name="Rectangle 85" hidden="1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9848850" y="4086224"/>
              <a:ext cx="164592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Check For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Reminders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</xdr:grpSp>
      <xdr:pic>
        <xdr:nvPicPr>
          <xdr:cNvPr id="83" name="Picture 82" hidden="1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00" y="1457325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457200</xdr:colOff>
      <xdr:row>3</xdr:row>
      <xdr:rowOff>104775</xdr:rowOff>
    </xdr:from>
    <xdr:to>
      <xdr:col>5</xdr:col>
      <xdr:colOff>742950</xdr:colOff>
      <xdr:row>4</xdr:row>
      <xdr:rowOff>93593</xdr:rowOff>
    </xdr:to>
    <xdr:grpSp>
      <xdr:nvGrpSpPr>
        <xdr:cNvPr id="94" name="SaveVehBtn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pSpPr/>
      </xdr:nvGrpSpPr>
      <xdr:grpSpPr>
        <a:xfrm>
          <a:off x="3270250" y="1393825"/>
          <a:ext cx="1181100" cy="223768"/>
          <a:chOff x="3286953" y="1539736"/>
          <a:chExt cx="1147142" cy="226943"/>
        </a:xfrm>
      </xdr:grpSpPr>
      <xdr:sp macro="[0]!Vehicle_Save" textlink="">
        <xdr:nvSpPr>
          <xdr:cNvPr id="95" name="Rectangle 94" hidden="1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3286953" y="1539736"/>
            <a:ext cx="1147142" cy="226943"/>
          </a:xfrm>
          <a:prstGeom prst="rect">
            <a:avLst/>
          </a:prstGeom>
          <a:ln>
            <a:solidFill>
              <a:srgbClr val="0033CC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200" b="1">
                <a:solidFill>
                  <a:srgbClr val="0033CC"/>
                </a:solidFill>
              </a:rPr>
              <a:t>Save Vehicle</a:t>
            </a:r>
          </a:p>
        </xdr:txBody>
      </xdr:sp>
      <xdr:pic macro="[0]!Vehicle_Save">
        <xdr:nvPicPr>
          <xdr:cNvPr id="96" name="Picture 95" hidden="1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3153" y="1576180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447675</xdr:colOff>
      <xdr:row>3</xdr:row>
      <xdr:rowOff>104775</xdr:rowOff>
    </xdr:from>
    <xdr:to>
      <xdr:col>5</xdr:col>
      <xdr:colOff>733425</xdr:colOff>
      <xdr:row>4</xdr:row>
      <xdr:rowOff>93593</xdr:rowOff>
    </xdr:to>
    <xdr:grpSp>
      <xdr:nvGrpSpPr>
        <xdr:cNvPr id="97" name="AddVehBtn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pSpPr/>
      </xdr:nvGrpSpPr>
      <xdr:grpSpPr>
        <a:xfrm>
          <a:off x="3260725" y="1393825"/>
          <a:ext cx="1181100" cy="223768"/>
          <a:chOff x="6867525" y="3095623"/>
          <a:chExt cx="1143000" cy="415636"/>
        </a:xfrm>
      </xdr:grpSpPr>
      <xdr:sp macro="[0]!Vehicle_Add" textlink="">
        <xdr:nvSpPr>
          <xdr:cNvPr id="98" name="Rectangle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/>
        </xdr:nvSpPr>
        <xdr:spPr>
          <a:xfrm>
            <a:off x="6867525" y="3095623"/>
            <a:ext cx="1143000" cy="415636"/>
          </a:xfrm>
          <a:prstGeom prst="rect">
            <a:avLst/>
          </a:prstGeom>
          <a:ln>
            <a:solidFill>
              <a:srgbClr val="0033CC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200" b="1">
                <a:solidFill>
                  <a:srgbClr val="0033CC"/>
                </a:solidFill>
              </a:rPr>
              <a:t>Add Vehicle</a:t>
            </a:r>
          </a:p>
        </xdr:txBody>
      </xdr:sp>
      <xdr:pic macro="[0]!Vehicle_Add">
        <xdr:nvPicPr>
          <xdr:cNvPr id="99" name="Picture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96100" y="3164203"/>
            <a:ext cx="164592" cy="299258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254000</xdr:colOff>
      <xdr:row>5</xdr:row>
      <xdr:rowOff>0</xdr:rowOff>
    </xdr:from>
    <xdr:to>
      <xdr:col>10</xdr:col>
      <xdr:colOff>930275</xdr:colOff>
      <xdr:row>11</xdr:row>
      <xdr:rowOff>38282</xdr:rowOff>
    </xdr:to>
    <xdr:pic>
      <xdr:nvPicPr>
        <xdr:cNvPr id="3" name="VehiclePic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7254875" y="1724025"/>
          <a:ext cx="1524000" cy="1181282"/>
        </a:xfrm>
        <a:prstGeom prst="rect">
          <a:avLst/>
        </a:prstGeom>
      </xdr:spPr>
    </xdr:pic>
    <xdr:clientData/>
  </xdr:twoCellAnchor>
  <xdr:twoCellAnchor editAs="oneCell">
    <xdr:from>
      <xdr:col>12</xdr:col>
      <xdr:colOff>177800</xdr:colOff>
      <xdr:row>2</xdr:row>
      <xdr:rowOff>88900</xdr:rowOff>
    </xdr:from>
    <xdr:to>
      <xdr:col>12</xdr:col>
      <xdr:colOff>3461486</xdr:colOff>
      <xdr:row>98</xdr:row>
      <xdr:rowOff>38189</xdr:rowOff>
    </xdr:to>
    <xdr:pic>
      <xdr:nvPicPr>
        <xdr:cNvPr id="75" name="Pictur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ADEF13-CA28-429D-911B-C40ABF420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500" y="1193800"/>
          <a:ext cx="3283686" cy="42355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hicle_Expense_Tracker_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Expense Tracker"/>
      <sheetName val="Vehicle List"/>
      <sheetName val="Expenses List"/>
      <sheetName val="Fuel Log"/>
      <sheetName val="Reminders"/>
      <sheetName val="Meter Tracking"/>
      <sheetName val="Vehicle_Expense_Tracker_Sample"/>
    </sheetNames>
    <definedNames>
      <definedName name="CheckForReminders"/>
      <definedName name="Expense_Save"/>
      <definedName name="Fuel_Save"/>
      <definedName name="MeterTrack_Save"/>
      <definedName name="Reminder_Sav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7"/>
  <sheetViews>
    <sheetView showZeros="0" tabSelected="1" zoomScaleNormal="100" workbookViewId="0">
      <selection activeCell="F6" sqref="F6"/>
    </sheetView>
  </sheetViews>
  <sheetFormatPr defaultRowHeight="14.5" x14ac:dyDescent="0.35"/>
  <cols>
    <col min="1" max="1" width="11.26953125" bestFit="1" customWidth="1"/>
    <col min="3" max="3" width="4.26953125" customWidth="1"/>
    <col min="4" max="4" width="16" customWidth="1"/>
    <col min="5" max="9" width="12.81640625" customWidth="1"/>
    <col min="10" max="10" width="12.7265625" customWidth="1"/>
    <col min="11" max="11" width="15.81640625" customWidth="1"/>
    <col min="12" max="12" width="5.453125" customWidth="1"/>
    <col min="13" max="13" width="52.26953125" customWidth="1"/>
  </cols>
  <sheetData>
    <row r="1" spans="1:13" ht="30" customHeight="1" x14ac:dyDescent="0.5">
      <c r="A1" s="2"/>
      <c r="B1" s="2"/>
      <c r="C1" s="45"/>
      <c r="D1" s="45"/>
      <c r="E1" s="75" t="s">
        <v>114</v>
      </c>
      <c r="F1" s="75"/>
      <c r="G1" s="75"/>
      <c r="H1" s="75"/>
      <c r="I1" s="75"/>
      <c r="J1" s="75"/>
      <c r="K1" s="75"/>
      <c r="L1" s="45"/>
      <c r="M1" s="45"/>
    </row>
    <row r="2" spans="1:13" ht="57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35">
      <c r="A3" s="62" t="s">
        <v>8</v>
      </c>
      <c r="B3" s="63">
        <v>5</v>
      </c>
      <c r="C3" s="3"/>
      <c r="D3" s="10"/>
      <c r="E3" s="10"/>
      <c r="F3" s="10"/>
      <c r="G3" s="10"/>
      <c r="H3" s="10"/>
      <c r="I3" s="10"/>
      <c r="J3" s="10"/>
      <c r="K3" s="10"/>
      <c r="L3" s="10"/>
      <c r="M3" s="3"/>
    </row>
    <row r="4" spans="1:13" ht="18.5" x14ac:dyDescent="0.45">
      <c r="A4" s="62" t="s">
        <v>115</v>
      </c>
      <c r="B4" s="63">
        <f ca="1">IFERROR(MATCH(F6,Vehicles,0)+3,"")</f>
        <v>4</v>
      </c>
      <c r="C4" s="3"/>
      <c r="D4" s="4"/>
      <c r="E4" s="74" t="s">
        <v>0</v>
      </c>
      <c r="F4" s="74"/>
      <c r="G4" s="74"/>
      <c r="H4" s="74"/>
      <c r="I4" s="74"/>
      <c r="J4" s="74"/>
      <c r="K4" s="74"/>
      <c r="L4" s="5"/>
      <c r="M4" s="3"/>
    </row>
    <row r="5" spans="1:13" x14ac:dyDescent="0.35">
      <c r="A5" s="62" t="s">
        <v>116</v>
      </c>
      <c r="B5" s="63" t="b">
        <v>0</v>
      </c>
      <c r="C5" s="3"/>
      <c r="D5" s="47" t="s">
        <v>1</v>
      </c>
      <c r="E5" s="7"/>
      <c r="F5" s="7"/>
      <c r="G5" s="7"/>
      <c r="H5" s="7"/>
      <c r="I5" s="7"/>
      <c r="J5" s="79" t="s">
        <v>14</v>
      </c>
      <c r="K5" s="80"/>
      <c r="L5" s="8"/>
      <c r="M5" s="3"/>
    </row>
    <row r="6" spans="1:13" x14ac:dyDescent="0.35">
      <c r="A6" s="62" t="s">
        <v>94</v>
      </c>
      <c r="B6" s="63">
        <v>6</v>
      </c>
      <c r="C6" s="3"/>
      <c r="D6" s="46" t="str">
        <f>'Vehicle List'!A4</f>
        <v>Car 1</v>
      </c>
      <c r="E6" s="9" t="s">
        <v>21</v>
      </c>
      <c r="F6" s="13" t="s">
        <v>2</v>
      </c>
      <c r="G6" s="9" t="s">
        <v>23</v>
      </c>
      <c r="H6" s="13">
        <v>457874</v>
      </c>
      <c r="I6" s="7"/>
      <c r="J6" s="4"/>
      <c r="K6" s="5"/>
      <c r="L6" s="8"/>
      <c r="M6" s="3"/>
    </row>
    <row r="7" spans="1:13" x14ac:dyDescent="0.35">
      <c r="A7" s="2" t="s">
        <v>117</v>
      </c>
      <c r="B7" s="61" t="b">
        <v>0</v>
      </c>
      <c r="C7" s="3"/>
      <c r="D7" s="46" t="str">
        <f>'Vehicle List'!A5</f>
        <v>Car 2</v>
      </c>
      <c r="E7" s="9"/>
      <c r="F7" s="7"/>
      <c r="G7" s="9"/>
      <c r="H7" s="7"/>
      <c r="I7" s="7"/>
      <c r="J7" s="6"/>
      <c r="K7" s="8"/>
      <c r="L7" s="8"/>
      <c r="M7" s="3"/>
    </row>
    <row r="8" spans="1:13" x14ac:dyDescent="0.35">
      <c r="A8" s="2"/>
      <c r="B8" s="2"/>
      <c r="C8" s="3"/>
      <c r="D8" s="46" t="str">
        <f>'Vehicle List'!A6</f>
        <v>Car 3</v>
      </c>
      <c r="E8" s="9" t="s">
        <v>10</v>
      </c>
      <c r="F8" s="13" t="s">
        <v>33</v>
      </c>
      <c r="G8" s="9" t="s">
        <v>11</v>
      </c>
      <c r="H8" s="13" t="s">
        <v>34</v>
      </c>
      <c r="I8" s="7"/>
      <c r="J8" s="6"/>
      <c r="K8" s="8"/>
      <c r="L8" s="8"/>
      <c r="M8" s="3"/>
    </row>
    <row r="9" spans="1:13" x14ac:dyDescent="0.35">
      <c r="A9" s="2"/>
      <c r="B9" s="2"/>
      <c r="C9" s="3"/>
      <c r="D9" s="46" t="str">
        <f>'Vehicle List'!A7</f>
        <v>Car 4</v>
      </c>
      <c r="E9" s="9"/>
      <c r="F9" s="7"/>
      <c r="G9" s="9"/>
      <c r="H9" s="7"/>
      <c r="I9" s="7"/>
      <c r="J9" s="6"/>
      <c r="K9" s="8"/>
      <c r="L9" s="8"/>
      <c r="M9" s="3"/>
    </row>
    <row r="10" spans="1:13" x14ac:dyDescent="0.35">
      <c r="A10" s="2"/>
      <c r="B10" s="2"/>
      <c r="C10" s="3"/>
      <c r="D10" s="46" t="str">
        <f>'Vehicle List'!A8</f>
        <v>Car 5</v>
      </c>
      <c r="E10" s="9" t="s">
        <v>12</v>
      </c>
      <c r="F10" s="13" t="s">
        <v>32</v>
      </c>
      <c r="G10" s="9" t="s">
        <v>13</v>
      </c>
      <c r="H10" s="13">
        <v>4</v>
      </c>
      <c r="I10" s="7"/>
      <c r="J10" s="6"/>
      <c r="K10" s="8"/>
      <c r="L10" s="8"/>
      <c r="M10" s="3"/>
    </row>
    <row r="11" spans="1:13" x14ac:dyDescent="0.35">
      <c r="A11" s="2"/>
      <c r="B11" s="2"/>
      <c r="C11" s="3"/>
      <c r="D11" s="46" t="str">
        <f>'Vehicle List'!A9</f>
        <v>Car 6</v>
      </c>
      <c r="E11" s="9"/>
      <c r="F11" s="7"/>
      <c r="G11" s="9"/>
      <c r="H11" s="7"/>
      <c r="I11" s="7"/>
      <c r="J11" s="6"/>
      <c r="K11" s="8"/>
      <c r="L11" s="8"/>
      <c r="M11" s="3"/>
    </row>
    <row r="12" spans="1:13" x14ac:dyDescent="0.35">
      <c r="A12" s="2"/>
      <c r="B12" s="2"/>
      <c r="C12" s="3"/>
      <c r="D12" s="46" t="str">
        <f>'Vehicle List'!A10</f>
        <v>Car 7</v>
      </c>
      <c r="E12" s="9" t="s">
        <v>19</v>
      </c>
      <c r="F12" s="65" t="s">
        <v>35</v>
      </c>
      <c r="G12" s="66"/>
      <c r="H12" s="67"/>
      <c r="I12" s="7"/>
      <c r="J12" s="12"/>
      <c r="K12" s="11"/>
      <c r="L12" s="8" t="s">
        <v>118</v>
      </c>
      <c r="M12" s="3"/>
    </row>
    <row r="13" spans="1:13" x14ac:dyDescent="0.35">
      <c r="A13" s="2"/>
      <c r="B13" s="2"/>
      <c r="C13" s="3"/>
      <c r="D13" s="46">
        <f>'Vehicle List'!A11</f>
        <v>0</v>
      </c>
      <c r="E13" s="7"/>
      <c r="F13" s="68"/>
      <c r="G13" s="69"/>
      <c r="H13" s="70"/>
      <c r="I13" s="7"/>
      <c r="J13" s="6" t="s">
        <v>43</v>
      </c>
      <c r="K13" s="8"/>
      <c r="L13" s="8" t="s">
        <v>118</v>
      </c>
      <c r="M13" s="3"/>
    </row>
    <row r="14" spans="1:13" x14ac:dyDescent="0.35">
      <c r="A14" s="2"/>
      <c r="B14" s="2"/>
      <c r="C14" s="3"/>
      <c r="D14" s="46">
        <f>'Vehicle List'!A12</f>
        <v>0</v>
      </c>
      <c r="E14" s="7"/>
      <c r="F14" s="68"/>
      <c r="G14" s="69"/>
      <c r="H14" s="70"/>
      <c r="I14" s="7"/>
      <c r="J14" s="12"/>
      <c r="K14" s="11"/>
      <c r="L14" s="8"/>
      <c r="M14" s="3"/>
    </row>
    <row r="15" spans="1:13" x14ac:dyDescent="0.35">
      <c r="A15" s="2"/>
      <c r="B15" s="2"/>
      <c r="C15" s="3"/>
      <c r="D15" s="46">
        <f>'Vehicle List'!A13</f>
        <v>0</v>
      </c>
      <c r="E15" s="7"/>
      <c r="F15" s="71"/>
      <c r="G15" s="72"/>
      <c r="H15" s="73"/>
      <c r="I15" s="7"/>
      <c r="J15" s="7"/>
      <c r="K15" s="7"/>
      <c r="L15" s="8"/>
      <c r="M15" s="3"/>
    </row>
    <row r="16" spans="1:13" x14ac:dyDescent="0.35">
      <c r="A16" s="2"/>
      <c r="B16" s="2"/>
      <c r="C16" s="3"/>
      <c r="D16" s="12"/>
      <c r="E16" s="10"/>
      <c r="F16" s="10"/>
      <c r="G16" s="10"/>
      <c r="H16" s="10"/>
      <c r="I16" s="10"/>
      <c r="J16" s="10"/>
      <c r="K16" s="10"/>
      <c r="L16" s="11"/>
      <c r="M16" s="3"/>
    </row>
    <row r="17" spans="1:13" ht="21" hidden="1" customHeight="1" x14ac:dyDescent="0.5">
      <c r="A17" s="2"/>
      <c r="B17" s="2"/>
      <c r="C17" s="3"/>
      <c r="D17" s="4"/>
      <c r="E17" s="64" t="s">
        <v>15</v>
      </c>
      <c r="F17" s="64"/>
      <c r="G17" s="64"/>
      <c r="H17" s="64"/>
      <c r="I17" s="64"/>
      <c r="J17" s="64"/>
      <c r="K17" s="64"/>
      <c r="L17" s="5"/>
      <c r="M17" s="3"/>
    </row>
    <row r="18" spans="1:13" hidden="1" x14ac:dyDescent="0.35">
      <c r="A18" s="2"/>
      <c r="B18" s="2"/>
      <c r="C18" s="3"/>
      <c r="D18" s="6"/>
      <c r="E18" s="7"/>
      <c r="F18" s="7"/>
      <c r="G18" s="7"/>
      <c r="H18" s="7"/>
      <c r="I18" s="7"/>
      <c r="J18" s="7"/>
      <c r="K18" s="7"/>
      <c r="L18" s="8"/>
      <c r="M18" s="3"/>
    </row>
    <row r="19" spans="1:13" hidden="1" x14ac:dyDescent="0.35">
      <c r="A19" s="2"/>
      <c r="B19" s="2"/>
      <c r="C19" s="3"/>
      <c r="D19" s="6"/>
      <c r="E19" s="9" t="s">
        <v>95</v>
      </c>
      <c r="F19" s="13"/>
      <c r="G19" s="9" t="s">
        <v>96</v>
      </c>
      <c r="H19" s="48"/>
      <c r="I19" s="9" t="s">
        <v>97</v>
      </c>
      <c r="J19" s="49"/>
      <c r="K19" s="7"/>
      <c r="L19" s="8"/>
      <c r="M19" s="3"/>
    </row>
    <row r="20" spans="1:13" hidden="1" x14ac:dyDescent="0.35">
      <c r="A20" s="2"/>
      <c r="B20" s="2"/>
      <c r="C20" s="3"/>
      <c r="D20" s="6"/>
      <c r="E20" s="9"/>
      <c r="F20" s="7"/>
      <c r="G20" s="7"/>
      <c r="H20" s="7"/>
      <c r="I20" s="7"/>
      <c r="J20" s="7"/>
      <c r="K20" s="7"/>
      <c r="L20" s="8"/>
      <c r="M20" s="3"/>
    </row>
    <row r="21" spans="1:13" hidden="1" x14ac:dyDescent="0.35">
      <c r="A21" s="2"/>
      <c r="B21" s="2"/>
      <c r="C21" s="3"/>
      <c r="D21" s="6"/>
      <c r="E21" s="9" t="s">
        <v>98</v>
      </c>
      <c r="F21" s="13"/>
      <c r="G21" s="9" t="s">
        <v>99</v>
      </c>
      <c r="H21" s="76"/>
      <c r="I21" s="77"/>
      <c r="J21" s="78"/>
      <c r="K21" s="7"/>
      <c r="L21" s="8"/>
      <c r="M21" s="3"/>
    </row>
    <row r="22" spans="1:13" hidden="1" x14ac:dyDescent="0.35">
      <c r="A22" s="2"/>
      <c r="B22" s="2"/>
      <c r="C22" s="3"/>
      <c r="D22" s="6"/>
      <c r="E22" s="7"/>
      <c r="F22" s="7"/>
      <c r="G22" s="7"/>
      <c r="H22" s="7"/>
      <c r="I22" s="7"/>
      <c r="J22" s="7"/>
      <c r="K22" s="7"/>
      <c r="L22" s="8"/>
      <c r="M22" s="3"/>
    </row>
    <row r="23" spans="1:13" hidden="1" x14ac:dyDescent="0.35">
      <c r="A23" s="2"/>
      <c r="B23" s="2"/>
      <c r="C23" s="3"/>
      <c r="D23" s="6"/>
      <c r="E23" s="9" t="s">
        <v>100</v>
      </c>
      <c r="F23" s="65"/>
      <c r="G23" s="66"/>
      <c r="H23" s="66"/>
      <c r="I23" s="66"/>
      <c r="J23" s="67"/>
      <c r="K23" s="7"/>
      <c r="L23" s="8"/>
      <c r="M23" s="3"/>
    </row>
    <row r="24" spans="1:13" hidden="1" x14ac:dyDescent="0.35">
      <c r="A24" s="2"/>
      <c r="B24" s="2"/>
      <c r="C24" s="3"/>
      <c r="D24" s="6"/>
      <c r="E24" s="7"/>
      <c r="F24" s="68"/>
      <c r="G24" s="69"/>
      <c r="H24" s="69"/>
      <c r="I24" s="69"/>
      <c r="J24" s="70"/>
      <c r="K24" s="7"/>
      <c r="L24" s="8"/>
      <c r="M24" s="3"/>
    </row>
    <row r="25" spans="1:13" hidden="1" x14ac:dyDescent="0.35">
      <c r="A25" s="2"/>
      <c r="B25" s="2"/>
      <c r="C25" s="3"/>
      <c r="D25" s="6"/>
      <c r="E25" s="7"/>
      <c r="F25" s="68"/>
      <c r="G25" s="69"/>
      <c r="H25" s="69"/>
      <c r="I25" s="69"/>
      <c r="J25" s="70"/>
      <c r="K25" s="7"/>
      <c r="L25" s="8"/>
      <c r="M25" s="3"/>
    </row>
    <row r="26" spans="1:13" hidden="1" x14ac:dyDescent="0.35">
      <c r="A26" s="2"/>
      <c r="B26" s="2"/>
      <c r="C26" s="3"/>
      <c r="D26" s="6"/>
      <c r="E26" s="7"/>
      <c r="F26" s="68"/>
      <c r="G26" s="69"/>
      <c r="H26" s="69"/>
      <c r="I26" s="69"/>
      <c r="J26" s="70"/>
      <c r="K26" s="7"/>
      <c r="L26" s="8"/>
      <c r="M26" s="3"/>
    </row>
    <row r="27" spans="1:13" hidden="1" x14ac:dyDescent="0.35">
      <c r="A27" s="2"/>
      <c r="B27" s="2"/>
      <c r="C27" s="3"/>
      <c r="D27" s="6"/>
      <c r="E27" s="7"/>
      <c r="F27" s="68"/>
      <c r="G27" s="69"/>
      <c r="H27" s="69"/>
      <c r="I27" s="69"/>
      <c r="J27" s="70"/>
      <c r="K27" s="7"/>
      <c r="L27" s="8"/>
      <c r="M27" s="3"/>
    </row>
    <row r="28" spans="1:13" hidden="1" x14ac:dyDescent="0.35">
      <c r="A28" s="2"/>
      <c r="B28" s="2"/>
      <c r="C28" s="3"/>
      <c r="D28" s="6"/>
      <c r="E28" s="7"/>
      <c r="F28" s="71"/>
      <c r="G28" s="72"/>
      <c r="H28" s="72"/>
      <c r="I28" s="72"/>
      <c r="J28" s="73"/>
      <c r="K28" s="7"/>
      <c r="L28" s="8"/>
      <c r="M28" s="3"/>
    </row>
    <row r="29" spans="1:13" hidden="1" x14ac:dyDescent="0.35">
      <c r="A29" s="2"/>
      <c r="B29" s="2"/>
      <c r="C29" s="3"/>
      <c r="D29" s="12"/>
      <c r="E29" s="10"/>
      <c r="F29" s="10"/>
      <c r="G29" s="10"/>
      <c r="H29" s="10"/>
      <c r="I29" s="10"/>
      <c r="J29" s="10"/>
      <c r="K29" s="10"/>
      <c r="L29" s="11"/>
      <c r="M29" s="3"/>
    </row>
    <row r="30" spans="1:13" ht="21" hidden="1" customHeight="1" x14ac:dyDescent="0.5">
      <c r="A30" s="2"/>
      <c r="B30" s="2"/>
      <c r="C30" s="3"/>
      <c r="D30" s="4"/>
      <c r="E30" s="64" t="s">
        <v>24</v>
      </c>
      <c r="F30" s="64"/>
      <c r="G30" s="64"/>
      <c r="H30" s="64"/>
      <c r="I30" s="64"/>
      <c r="J30" s="64"/>
      <c r="K30" s="64"/>
      <c r="L30" s="5"/>
      <c r="M30" s="3"/>
    </row>
    <row r="31" spans="1:13" hidden="1" x14ac:dyDescent="0.35">
      <c r="A31" s="2"/>
      <c r="B31" s="2"/>
      <c r="C31" s="3"/>
      <c r="D31" s="6"/>
      <c r="E31" s="7"/>
      <c r="F31" s="7"/>
      <c r="G31" s="7"/>
      <c r="H31" s="7"/>
      <c r="I31" s="7"/>
      <c r="J31" s="7"/>
      <c r="K31" s="7"/>
      <c r="L31" s="8"/>
      <c r="M31" s="3"/>
    </row>
    <row r="32" spans="1:13" hidden="1" x14ac:dyDescent="0.35">
      <c r="A32" s="2"/>
      <c r="B32" s="2"/>
      <c r="C32" s="3"/>
      <c r="D32" s="6"/>
      <c r="E32" s="9" t="s">
        <v>95</v>
      </c>
      <c r="F32" s="13"/>
      <c r="G32" s="9" t="s">
        <v>96</v>
      </c>
      <c r="H32" s="50"/>
      <c r="I32" s="9" t="s">
        <v>97</v>
      </c>
      <c r="J32" s="13"/>
      <c r="K32" s="7"/>
      <c r="L32" s="8"/>
      <c r="M32" s="3"/>
    </row>
    <row r="33" spans="1:13" hidden="1" x14ac:dyDescent="0.35">
      <c r="A33" s="2"/>
      <c r="B33" s="2"/>
      <c r="C33" s="3"/>
      <c r="D33" s="6"/>
      <c r="E33" s="9"/>
      <c r="F33" s="7"/>
      <c r="G33" s="7"/>
      <c r="H33" s="7"/>
      <c r="I33" s="9"/>
      <c r="J33" s="7"/>
      <c r="K33" s="7"/>
      <c r="L33" s="8"/>
      <c r="M33" s="3"/>
    </row>
    <row r="34" spans="1:13" hidden="1" x14ac:dyDescent="0.35">
      <c r="A34" s="2"/>
      <c r="B34" s="2"/>
      <c r="C34" s="3"/>
      <c r="D34" s="6"/>
      <c r="E34" s="9" t="s">
        <v>101</v>
      </c>
      <c r="F34" s="13"/>
      <c r="G34" s="9" t="s">
        <v>102</v>
      </c>
      <c r="H34" s="13"/>
      <c r="I34" s="9" t="s">
        <v>103</v>
      </c>
      <c r="J34" s="13"/>
      <c r="K34" s="7"/>
      <c r="L34" s="8"/>
      <c r="M34" s="3"/>
    </row>
    <row r="35" spans="1:13" hidden="1" x14ac:dyDescent="0.35">
      <c r="A35" s="2"/>
      <c r="B35" s="2"/>
      <c r="C35" s="3"/>
      <c r="D35" s="6"/>
      <c r="E35" s="7"/>
      <c r="F35" s="7"/>
      <c r="G35" s="7"/>
      <c r="H35" s="7"/>
      <c r="I35" s="7"/>
      <c r="J35" s="7"/>
      <c r="K35" s="7"/>
      <c r="L35" s="8"/>
      <c r="M35" s="3"/>
    </row>
    <row r="36" spans="1:13" hidden="1" x14ac:dyDescent="0.35">
      <c r="A36" s="2"/>
      <c r="B36" s="2"/>
      <c r="C36" s="3"/>
      <c r="D36" s="6"/>
      <c r="E36" s="7" t="s">
        <v>100</v>
      </c>
      <c r="F36" s="65"/>
      <c r="G36" s="66"/>
      <c r="H36" s="66"/>
      <c r="I36" s="66"/>
      <c r="J36" s="67"/>
      <c r="K36" s="7"/>
      <c r="L36" s="8"/>
      <c r="M36" s="3"/>
    </row>
    <row r="37" spans="1:13" hidden="1" x14ac:dyDescent="0.35">
      <c r="A37" s="2"/>
      <c r="B37" s="2"/>
      <c r="C37" s="3"/>
      <c r="D37" s="6"/>
      <c r="E37" s="7"/>
      <c r="F37" s="68"/>
      <c r="G37" s="69"/>
      <c r="H37" s="69"/>
      <c r="I37" s="69"/>
      <c r="J37" s="70"/>
      <c r="K37" s="7"/>
      <c r="L37" s="8"/>
      <c r="M37" s="3"/>
    </row>
    <row r="38" spans="1:13" hidden="1" x14ac:dyDescent="0.35">
      <c r="A38" s="2"/>
      <c r="B38" s="2"/>
      <c r="C38" s="3"/>
      <c r="D38" s="6"/>
      <c r="E38" s="7"/>
      <c r="F38" s="68"/>
      <c r="G38" s="69"/>
      <c r="H38" s="69"/>
      <c r="I38" s="69"/>
      <c r="J38" s="70"/>
      <c r="K38" s="7"/>
      <c r="L38" s="8"/>
      <c r="M38" s="3"/>
    </row>
    <row r="39" spans="1:13" hidden="1" x14ac:dyDescent="0.35">
      <c r="A39" s="2"/>
      <c r="B39" s="2"/>
      <c r="C39" s="3"/>
      <c r="D39" s="6"/>
      <c r="E39" s="7"/>
      <c r="F39" s="68"/>
      <c r="G39" s="69"/>
      <c r="H39" s="69"/>
      <c r="I39" s="69"/>
      <c r="J39" s="70"/>
      <c r="K39" s="7"/>
      <c r="L39" s="8"/>
      <c r="M39" s="3"/>
    </row>
    <row r="40" spans="1:13" hidden="1" x14ac:dyDescent="0.35">
      <c r="A40" s="2"/>
      <c r="B40" s="2"/>
      <c r="C40" s="3"/>
      <c r="D40" s="6"/>
      <c r="E40" s="7"/>
      <c r="F40" s="68"/>
      <c r="G40" s="69"/>
      <c r="H40" s="69"/>
      <c r="I40" s="69"/>
      <c r="J40" s="70"/>
      <c r="K40" s="7"/>
      <c r="L40" s="8"/>
      <c r="M40" s="3"/>
    </row>
    <row r="41" spans="1:13" hidden="1" x14ac:dyDescent="0.35">
      <c r="A41" s="2"/>
      <c r="B41" s="2"/>
      <c r="C41" s="3"/>
      <c r="D41" s="6"/>
      <c r="E41" s="7"/>
      <c r="F41" s="71"/>
      <c r="G41" s="72"/>
      <c r="H41" s="72"/>
      <c r="I41" s="72"/>
      <c r="J41" s="73"/>
      <c r="K41" s="7"/>
      <c r="L41" s="8"/>
      <c r="M41" s="3"/>
    </row>
    <row r="42" spans="1:13" hidden="1" x14ac:dyDescent="0.35">
      <c r="A42" s="2"/>
      <c r="B42" s="2"/>
      <c r="C42" s="3"/>
      <c r="D42" s="12"/>
      <c r="E42" s="10"/>
      <c r="F42" s="10"/>
      <c r="G42" s="10"/>
      <c r="H42" s="10"/>
      <c r="I42" s="10"/>
      <c r="J42" s="10"/>
      <c r="K42" s="10"/>
      <c r="L42" s="11"/>
      <c r="M42" s="3"/>
    </row>
    <row r="43" spans="1:13" ht="21" hidden="1" x14ac:dyDescent="0.5">
      <c r="A43" s="2"/>
      <c r="B43" s="2"/>
      <c r="C43" s="3"/>
      <c r="D43" s="4"/>
      <c r="E43" s="64" t="s">
        <v>26</v>
      </c>
      <c r="F43" s="64"/>
      <c r="G43" s="64"/>
      <c r="H43" s="64"/>
      <c r="I43" s="64"/>
      <c r="J43" s="64"/>
      <c r="K43" s="64"/>
      <c r="L43" s="5"/>
      <c r="M43" s="3"/>
    </row>
    <row r="44" spans="1:13" hidden="1" x14ac:dyDescent="0.35">
      <c r="A44" s="2"/>
      <c r="B44" s="2"/>
      <c r="C44" s="3"/>
      <c r="D44" s="6"/>
      <c r="E44" s="7"/>
      <c r="F44" s="7"/>
      <c r="G44" s="7"/>
      <c r="H44" s="7"/>
      <c r="I44" s="7"/>
      <c r="J44" s="7"/>
      <c r="K44" s="7"/>
      <c r="L44" s="8"/>
      <c r="M44" s="3"/>
    </row>
    <row r="45" spans="1:13" hidden="1" x14ac:dyDescent="0.35">
      <c r="A45" s="2"/>
      <c r="B45" s="2"/>
      <c r="C45" s="3"/>
      <c r="D45" s="6"/>
      <c r="E45" s="9" t="s">
        <v>95</v>
      </c>
      <c r="F45" s="13"/>
      <c r="G45" s="9" t="s">
        <v>104</v>
      </c>
      <c r="H45" s="13"/>
      <c r="I45" s="9" t="s">
        <v>105</v>
      </c>
      <c r="J45" s="48"/>
      <c r="K45" s="7"/>
      <c r="L45" s="8"/>
      <c r="M45" s="3"/>
    </row>
    <row r="46" spans="1:13" hidden="1" x14ac:dyDescent="0.35">
      <c r="A46" s="2"/>
      <c r="B46" s="2"/>
      <c r="C46" s="3"/>
      <c r="D46" s="6"/>
      <c r="E46" s="9"/>
      <c r="F46" s="7"/>
      <c r="G46" s="7"/>
      <c r="H46" s="7"/>
      <c r="I46" s="9"/>
      <c r="J46" s="7"/>
      <c r="K46" s="7"/>
      <c r="L46" s="8"/>
      <c r="M46" s="3"/>
    </row>
    <row r="47" spans="1:13" hidden="1" x14ac:dyDescent="0.35">
      <c r="A47" s="2"/>
      <c r="B47" s="2"/>
      <c r="C47" s="3"/>
      <c r="D47" s="6"/>
      <c r="E47" s="9" t="s">
        <v>106</v>
      </c>
      <c r="F47" s="13"/>
      <c r="G47" s="51" t="s">
        <v>107</v>
      </c>
      <c r="H47" s="3"/>
      <c r="I47" s="9" t="s">
        <v>108</v>
      </c>
      <c r="J47" s="13"/>
      <c r="K47" s="3"/>
      <c r="L47" s="8"/>
      <c r="M47" s="3"/>
    </row>
    <row r="48" spans="1:13" hidden="1" x14ac:dyDescent="0.35">
      <c r="A48" s="2"/>
      <c r="B48" s="2"/>
      <c r="C48" s="3"/>
      <c r="D48" s="6"/>
      <c r="E48" s="7"/>
      <c r="F48" s="7"/>
      <c r="G48" s="7"/>
      <c r="H48" s="7"/>
      <c r="I48" s="7"/>
      <c r="J48" s="7"/>
      <c r="K48" s="7"/>
      <c r="L48" s="8"/>
      <c r="M48" s="3"/>
    </row>
    <row r="49" spans="1:13" hidden="1" x14ac:dyDescent="0.35">
      <c r="A49" s="2"/>
      <c r="B49" s="2"/>
      <c r="C49" s="3"/>
      <c r="D49" s="6"/>
      <c r="E49" s="52" t="s">
        <v>18</v>
      </c>
      <c r="F49" s="52" t="s">
        <v>21</v>
      </c>
      <c r="G49" s="52" t="s">
        <v>27</v>
      </c>
      <c r="H49" s="52" t="s">
        <v>109</v>
      </c>
      <c r="I49" s="52" t="s">
        <v>71</v>
      </c>
      <c r="J49" s="52" t="s">
        <v>28</v>
      </c>
      <c r="K49" s="7"/>
      <c r="L49" s="8"/>
      <c r="M49" s="3"/>
    </row>
    <row r="50" spans="1:13" hidden="1" x14ac:dyDescent="0.35">
      <c r="A50" s="2"/>
      <c r="B50" s="2"/>
      <c r="C50" s="3"/>
      <c r="D50" s="6"/>
      <c r="E50" s="53"/>
      <c r="F50" s="54"/>
      <c r="G50" s="55"/>
      <c r="H50" s="54"/>
      <c r="I50" s="54"/>
      <c r="J50" s="56"/>
      <c r="K50" s="7"/>
      <c r="L50" s="8"/>
      <c r="M50" s="3"/>
    </row>
    <row r="51" spans="1:13" hidden="1" x14ac:dyDescent="0.35">
      <c r="A51" s="2"/>
      <c r="B51" s="2"/>
      <c r="C51" s="3"/>
      <c r="D51" s="6"/>
      <c r="E51" s="41"/>
      <c r="F51" s="57"/>
      <c r="G51" s="57"/>
      <c r="H51" s="57"/>
      <c r="I51" s="57"/>
      <c r="J51" s="42"/>
      <c r="K51" s="7"/>
      <c r="L51" s="8"/>
      <c r="M51" s="3"/>
    </row>
    <row r="52" spans="1:13" hidden="1" x14ac:dyDescent="0.35">
      <c r="A52" s="2"/>
      <c r="B52" s="2"/>
      <c r="C52" s="3"/>
      <c r="D52" s="6"/>
      <c r="E52" s="41"/>
      <c r="F52" s="57"/>
      <c r="G52" s="57"/>
      <c r="H52" s="57"/>
      <c r="I52" s="57"/>
      <c r="J52" s="42"/>
      <c r="K52" s="7"/>
      <c r="L52" s="8"/>
      <c r="M52" s="3"/>
    </row>
    <row r="53" spans="1:13" hidden="1" x14ac:dyDescent="0.35">
      <c r="A53" s="2"/>
      <c r="B53" s="2"/>
      <c r="C53" s="3"/>
      <c r="D53" s="6"/>
      <c r="E53" s="41"/>
      <c r="F53" s="57"/>
      <c r="G53" s="57"/>
      <c r="H53" s="57"/>
      <c r="I53" s="57"/>
      <c r="J53" s="42"/>
      <c r="K53" s="7"/>
      <c r="L53" s="8"/>
      <c r="M53" s="3"/>
    </row>
    <row r="54" spans="1:13" hidden="1" x14ac:dyDescent="0.35">
      <c r="A54" s="2"/>
      <c r="B54" s="2"/>
      <c r="C54" s="3"/>
      <c r="D54" s="6"/>
      <c r="E54" s="41"/>
      <c r="F54" s="57"/>
      <c r="G54" s="57"/>
      <c r="H54" s="57"/>
      <c r="I54" s="57"/>
      <c r="J54" s="42"/>
      <c r="K54" s="7"/>
      <c r="L54" s="8"/>
      <c r="M54" s="3"/>
    </row>
    <row r="55" spans="1:13" hidden="1" x14ac:dyDescent="0.35">
      <c r="A55" s="2"/>
      <c r="B55" s="2"/>
      <c r="C55" s="3"/>
      <c r="D55" s="6"/>
      <c r="E55" s="41"/>
      <c r="F55" s="57"/>
      <c r="G55" s="57"/>
      <c r="H55" s="57"/>
      <c r="I55" s="57"/>
      <c r="J55" s="42"/>
      <c r="K55" s="7"/>
      <c r="L55" s="8"/>
      <c r="M55" s="3"/>
    </row>
    <row r="56" spans="1:13" hidden="1" x14ac:dyDescent="0.35">
      <c r="A56" s="2"/>
      <c r="B56" s="2"/>
      <c r="C56" s="3"/>
      <c r="D56" s="6"/>
      <c r="E56" s="41"/>
      <c r="F56" s="57"/>
      <c r="G56" s="57"/>
      <c r="H56" s="57"/>
      <c r="I56" s="57"/>
      <c r="J56" s="42"/>
      <c r="K56" s="7"/>
      <c r="L56" s="8"/>
      <c r="M56" s="3"/>
    </row>
    <row r="57" spans="1:13" hidden="1" x14ac:dyDescent="0.35">
      <c r="A57" s="2"/>
      <c r="B57" s="2"/>
      <c r="C57" s="3"/>
      <c r="D57" s="6"/>
      <c r="E57" s="41"/>
      <c r="F57" s="57"/>
      <c r="G57" s="57"/>
      <c r="H57" s="57"/>
      <c r="I57" s="57"/>
      <c r="J57" s="42"/>
      <c r="K57" s="7"/>
      <c r="L57" s="8"/>
      <c r="M57" s="3"/>
    </row>
    <row r="58" spans="1:13" hidden="1" x14ac:dyDescent="0.35">
      <c r="A58" s="2"/>
      <c r="B58" s="2"/>
      <c r="C58" s="3"/>
      <c r="D58" s="6"/>
      <c r="E58" s="41"/>
      <c r="F58" s="57"/>
      <c r="G58" s="57"/>
      <c r="H58" s="57"/>
      <c r="I58" s="57"/>
      <c r="J58" s="42"/>
      <c r="K58" s="7"/>
      <c r="L58" s="8"/>
      <c r="M58" s="3"/>
    </row>
    <row r="59" spans="1:13" hidden="1" x14ac:dyDescent="0.35">
      <c r="A59" s="2"/>
      <c r="B59" s="2"/>
      <c r="C59" s="3"/>
      <c r="D59" s="6"/>
      <c r="E59" s="43"/>
      <c r="F59" s="58"/>
      <c r="G59" s="58"/>
      <c r="H59" s="58"/>
      <c r="I59" s="58"/>
      <c r="J59" s="44"/>
      <c r="K59" s="7"/>
      <c r="L59" s="8"/>
      <c r="M59" s="3"/>
    </row>
    <row r="60" spans="1:13" hidden="1" x14ac:dyDescent="0.35">
      <c r="A60" s="2"/>
      <c r="B60" s="2"/>
      <c r="C60" s="3"/>
      <c r="D60" s="12"/>
      <c r="E60" s="10"/>
      <c r="F60" s="10"/>
      <c r="G60" s="10"/>
      <c r="H60" s="10"/>
      <c r="I60" s="10"/>
      <c r="J60" s="10"/>
      <c r="K60" s="10"/>
      <c r="L60" s="11"/>
      <c r="M60" s="3"/>
    </row>
    <row r="61" spans="1:13" ht="21" hidden="1" x14ac:dyDescent="0.5">
      <c r="A61" s="2"/>
      <c r="B61" s="2"/>
      <c r="C61" s="3"/>
      <c r="D61" s="6"/>
      <c r="E61" s="64" t="s">
        <v>30</v>
      </c>
      <c r="F61" s="64"/>
      <c r="G61" s="64"/>
      <c r="H61" s="64"/>
      <c r="I61" s="64"/>
      <c r="J61" s="64"/>
      <c r="K61" s="64"/>
      <c r="L61" s="5"/>
      <c r="M61" s="3"/>
    </row>
    <row r="62" spans="1:13" hidden="1" x14ac:dyDescent="0.35">
      <c r="A62" s="2"/>
      <c r="B62" s="2"/>
      <c r="C62" s="3"/>
      <c r="D62" s="6"/>
      <c r="E62" s="7"/>
      <c r="F62" s="7"/>
      <c r="G62" s="7"/>
      <c r="H62" s="7"/>
      <c r="I62" s="7"/>
      <c r="J62" s="7"/>
      <c r="K62" s="7"/>
      <c r="L62" s="8"/>
      <c r="M62" s="3"/>
    </row>
    <row r="63" spans="1:13" hidden="1" x14ac:dyDescent="0.35">
      <c r="A63" s="2"/>
      <c r="B63" s="2"/>
      <c r="C63" s="3"/>
      <c r="D63" s="6"/>
      <c r="E63" s="9" t="s">
        <v>95</v>
      </c>
      <c r="F63" s="13"/>
      <c r="G63" s="9" t="s">
        <v>110</v>
      </c>
      <c r="H63" s="13"/>
      <c r="I63" s="9" t="s">
        <v>16</v>
      </c>
      <c r="J63" s="50"/>
      <c r="K63" s="7"/>
      <c r="L63" s="8"/>
      <c r="M63" s="3"/>
    </row>
    <row r="64" spans="1:13" hidden="1" x14ac:dyDescent="0.35">
      <c r="A64" s="2"/>
      <c r="B64" s="2"/>
      <c r="C64" s="3"/>
      <c r="D64" s="6"/>
      <c r="E64" s="9"/>
      <c r="F64" s="7"/>
      <c r="G64" s="7"/>
      <c r="H64" s="7"/>
      <c r="I64" s="9"/>
      <c r="J64" s="7"/>
      <c r="K64" s="7"/>
      <c r="L64" s="8"/>
      <c r="M64" s="3"/>
    </row>
    <row r="65" spans="1:13" hidden="1" x14ac:dyDescent="0.35">
      <c r="A65" s="2"/>
      <c r="B65" s="2"/>
      <c r="C65" s="3"/>
      <c r="D65" s="6"/>
      <c r="E65" s="9" t="s">
        <v>111</v>
      </c>
      <c r="F65" s="59"/>
      <c r="G65" s="9"/>
      <c r="H65" s="9"/>
      <c r="I65" s="9"/>
      <c r="J65" s="9"/>
      <c r="K65" s="7"/>
      <c r="L65" s="8"/>
      <c r="M65" s="3"/>
    </row>
    <row r="66" spans="1:13" hidden="1" x14ac:dyDescent="0.35">
      <c r="A66" s="2"/>
      <c r="B66" s="2"/>
      <c r="C66" s="3"/>
      <c r="D66" s="6"/>
      <c r="E66" s="7"/>
      <c r="F66" s="7"/>
      <c r="G66" s="7"/>
      <c r="H66" s="7"/>
      <c r="I66" s="7"/>
      <c r="J66" s="7"/>
      <c r="K66" s="7"/>
      <c r="L66" s="8"/>
      <c r="M66" s="3"/>
    </row>
    <row r="67" spans="1:13" hidden="1" x14ac:dyDescent="0.35">
      <c r="A67" s="2"/>
      <c r="B67" s="2"/>
      <c r="C67" s="3"/>
      <c r="D67" s="6"/>
      <c r="E67" s="7" t="s">
        <v>100</v>
      </c>
      <c r="F67" s="65"/>
      <c r="G67" s="66"/>
      <c r="H67" s="66"/>
      <c r="I67" s="66"/>
      <c r="J67" s="67"/>
      <c r="K67" s="7"/>
      <c r="L67" s="8"/>
      <c r="M67" s="3"/>
    </row>
    <row r="68" spans="1:13" hidden="1" x14ac:dyDescent="0.35">
      <c r="A68" s="2"/>
      <c r="B68" s="2"/>
      <c r="C68" s="3"/>
      <c r="D68" s="6"/>
      <c r="E68" s="7"/>
      <c r="F68" s="68"/>
      <c r="G68" s="69"/>
      <c r="H68" s="69"/>
      <c r="I68" s="69"/>
      <c r="J68" s="70"/>
      <c r="K68" s="7"/>
      <c r="L68" s="8"/>
      <c r="M68" s="3"/>
    </row>
    <row r="69" spans="1:13" hidden="1" x14ac:dyDescent="0.35">
      <c r="A69" s="2"/>
      <c r="B69" s="2"/>
      <c r="C69" s="3"/>
      <c r="D69" s="6"/>
      <c r="E69" s="7"/>
      <c r="F69" s="68"/>
      <c r="G69" s="69"/>
      <c r="H69" s="69"/>
      <c r="I69" s="69"/>
      <c r="J69" s="70"/>
      <c r="K69" s="7"/>
      <c r="L69" s="8"/>
      <c r="M69" s="3"/>
    </row>
    <row r="70" spans="1:13" hidden="1" x14ac:dyDescent="0.35">
      <c r="A70" s="2"/>
      <c r="B70" s="2"/>
      <c r="C70" s="3"/>
      <c r="D70" s="6"/>
      <c r="E70" s="7"/>
      <c r="F70" s="68"/>
      <c r="G70" s="69"/>
      <c r="H70" s="69"/>
      <c r="I70" s="69"/>
      <c r="J70" s="70"/>
      <c r="K70" s="7"/>
      <c r="L70" s="8"/>
      <c r="M70" s="3"/>
    </row>
    <row r="71" spans="1:13" hidden="1" x14ac:dyDescent="0.35">
      <c r="A71" s="2"/>
      <c r="B71" s="2"/>
      <c r="C71" s="3"/>
      <c r="D71" s="6"/>
      <c r="E71" s="7"/>
      <c r="F71" s="68"/>
      <c r="G71" s="69"/>
      <c r="H71" s="69"/>
      <c r="I71" s="69"/>
      <c r="J71" s="70"/>
      <c r="K71" s="7"/>
      <c r="L71" s="8"/>
      <c r="M71" s="3"/>
    </row>
    <row r="72" spans="1:13" hidden="1" x14ac:dyDescent="0.35">
      <c r="A72" s="2"/>
      <c r="B72" s="2"/>
      <c r="C72" s="3"/>
      <c r="D72" s="6"/>
      <c r="E72" s="7"/>
      <c r="F72" s="71"/>
      <c r="G72" s="72"/>
      <c r="H72" s="72"/>
      <c r="I72" s="72"/>
      <c r="J72" s="73"/>
      <c r="K72" s="7"/>
      <c r="L72" s="8"/>
      <c r="M72" s="3"/>
    </row>
    <row r="73" spans="1:13" hidden="1" x14ac:dyDescent="0.35">
      <c r="A73" s="2"/>
      <c r="B73" s="2"/>
      <c r="C73" s="3"/>
      <c r="D73" s="12"/>
      <c r="E73" s="10"/>
      <c r="F73" s="10"/>
      <c r="G73" s="10"/>
      <c r="H73" s="10"/>
      <c r="I73" s="10"/>
      <c r="J73" s="10"/>
      <c r="K73" s="10"/>
      <c r="L73" s="11"/>
      <c r="M73" s="3"/>
    </row>
    <row r="74" spans="1:13" ht="21" hidden="1" x14ac:dyDescent="0.5">
      <c r="A74" s="2"/>
      <c r="B74" s="2"/>
      <c r="C74" s="3"/>
      <c r="D74" s="6"/>
      <c r="E74" s="64" t="s">
        <v>31</v>
      </c>
      <c r="F74" s="64"/>
      <c r="G74" s="64"/>
      <c r="H74" s="64"/>
      <c r="I74" s="64"/>
      <c r="J74" s="64"/>
      <c r="K74" s="64"/>
      <c r="L74" s="8"/>
      <c r="M74" s="3"/>
    </row>
    <row r="75" spans="1:13" hidden="1" x14ac:dyDescent="0.35">
      <c r="A75" s="2"/>
      <c r="B75" s="2"/>
      <c r="C75" s="3"/>
      <c r="D75" s="6"/>
      <c r="E75" s="7"/>
      <c r="F75" s="7"/>
      <c r="G75" s="7"/>
      <c r="H75" s="7"/>
      <c r="I75" s="7"/>
      <c r="J75" s="7"/>
      <c r="K75" s="7"/>
      <c r="L75" s="8"/>
      <c r="M75" s="3"/>
    </row>
    <row r="76" spans="1:13" hidden="1" x14ac:dyDescent="0.35">
      <c r="A76" s="2"/>
      <c r="B76" s="2"/>
      <c r="C76" s="3"/>
      <c r="D76" s="6"/>
      <c r="E76" s="9" t="s">
        <v>95</v>
      </c>
      <c r="F76" s="13"/>
      <c r="G76" s="9" t="s">
        <v>112</v>
      </c>
      <c r="H76" s="48"/>
      <c r="I76" s="60" t="s">
        <v>113</v>
      </c>
      <c r="J76" s="48"/>
      <c r="K76" s="7"/>
      <c r="L76" s="8"/>
      <c r="M76" s="3"/>
    </row>
    <row r="77" spans="1:13" hidden="1" x14ac:dyDescent="0.35">
      <c r="A77" s="2"/>
      <c r="B77" s="2"/>
      <c r="C77" s="3"/>
      <c r="D77" s="6"/>
      <c r="E77" s="9"/>
      <c r="F77" s="7"/>
      <c r="G77" s="7"/>
      <c r="H77" s="7"/>
      <c r="I77" s="9"/>
      <c r="J77" s="7"/>
      <c r="K77" s="7"/>
      <c r="L77" s="8"/>
      <c r="M77" s="3"/>
    </row>
    <row r="78" spans="1:13" hidden="1" x14ac:dyDescent="0.35">
      <c r="A78" s="2"/>
      <c r="B78" s="2"/>
      <c r="C78" s="3"/>
      <c r="D78" s="6"/>
      <c r="E78" s="7"/>
      <c r="F78" s="7"/>
      <c r="G78" s="7"/>
      <c r="H78" s="7"/>
      <c r="I78" s="7"/>
      <c r="J78" s="7"/>
      <c r="K78" s="7"/>
      <c r="L78" s="8"/>
      <c r="M78" s="3"/>
    </row>
    <row r="79" spans="1:13" hidden="1" x14ac:dyDescent="0.35">
      <c r="A79" s="2"/>
      <c r="B79" s="2"/>
      <c r="C79" s="3"/>
      <c r="D79" s="6"/>
      <c r="E79" s="7"/>
      <c r="F79" s="7"/>
      <c r="G79" s="7"/>
      <c r="H79" s="7"/>
      <c r="I79" s="7"/>
      <c r="J79" s="7"/>
      <c r="K79" s="7"/>
      <c r="L79" s="8"/>
      <c r="M79" s="3"/>
    </row>
    <row r="80" spans="1:13" hidden="1" x14ac:dyDescent="0.35">
      <c r="A80" s="2"/>
      <c r="B80" s="2"/>
      <c r="C80" s="3"/>
      <c r="D80" s="6"/>
      <c r="E80" s="7"/>
      <c r="F80" s="7"/>
      <c r="G80" s="7"/>
      <c r="H80" s="7"/>
      <c r="I80" s="7"/>
      <c r="J80" s="7"/>
      <c r="K80" s="7"/>
      <c r="L80" s="8"/>
      <c r="M80" s="3"/>
    </row>
    <row r="81" spans="1:13" hidden="1" x14ac:dyDescent="0.35">
      <c r="A81" s="2"/>
      <c r="B81" s="2"/>
      <c r="C81" s="3"/>
      <c r="D81" s="6"/>
      <c r="E81" s="7"/>
      <c r="F81" s="7"/>
      <c r="G81" s="7"/>
      <c r="H81" s="7"/>
      <c r="I81" s="7"/>
      <c r="J81" s="7"/>
      <c r="K81" s="7"/>
      <c r="L81" s="8"/>
      <c r="M81" s="3"/>
    </row>
    <row r="82" spans="1:13" hidden="1" x14ac:dyDescent="0.35">
      <c r="A82" s="2"/>
      <c r="B82" s="2"/>
      <c r="C82" s="3"/>
      <c r="D82" s="6"/>
      <c r="E82" s="7"/>
      <c r="F82" s="7"/>
      <c r="G82" s="7"/>
      <c r="H82" s="7"/>
      <c r="I82" s="7"/>
      <c r="J82" s="7"/>
      <c r="K82" s="7"/>
      <c r="L82" s="8"/>
      <c r="M82" s="3"/>
    </row>
    <row r="83" spans="1:13" hidden="1" x14ac:dyDescent="0.35">
      <c r="A83" s="2"/>
      <c r="B83" s="2"/>
      <c r="C83" s="3"/>
      <c r="D83" s="6"/>
      <c r="E83" s="7"/>
      <c r="F83" s="7"/>
      <c r="G83" s="7"/>
      <c r="H83" s="7"/>
      <c r="I83" s="7"/>
      <c r="J83" s="7"/>
      <c r="K83" s="7"/>
      <c r="L83" s="8"/>
      <c r="M83" s="3"/>
    </row>
    <row r="84" spans="1:13" hidden="1" x14ac:dyDescent="0.35">
      <c r="A84" s="2"/>
      <c r="B84" s="2"/>
      <c r="C84" s="3"/>
      <c r="D84" s="6"/>
      <c r="E84" s="7"/>
      <c r="F84" s="7"/>
      <c r="G84" s="7"/>
      <c r="H84" s="7"/>
      <c r="I84" s="7"/>
      <c r="J84" s="7"/>
      <c r="K84" s="7"/>
      <c r="L84" s="8"/>
      <c r="M84" s="3"/>
    </row>
    <row r="85" spans="1:13" hidden="1" x14ac:dyDescent="0.35">
      <c r="A85" s="2"/>
      <c r="B85" s="2"/>
      <c r="C85" s="3"/>
      <c r="D85" s="6"/>
      <c r="E85" s="7"/>
      <c r="F85" s="7"/>
      <c r="G85" s="7"/>
      <c r="H85" s="7"/>
      <c r="I85" s="7"/>
      <c r="J85" s="7"/>
      <c r="K85" s="7"/>
      <c r="L85" s="8"/>
      <c r="M85" s="3"/>
    </row>
    <row r="86" spans="1:13" hidden="1" x14ac:dyDescent="0.35">
      <c r="A86" s="2"/>
      <c r="B86" s="2"/>
      <c r="C86" s="3"/>
      <c r="D86" s="6"/>
      <c r="E86" s="7"/>
      <c r="F86" s="7"/>
      <c r="G86" s="7"/>
      <c r="H86" s="7"/>
      <c r="I86" s="7"/>
      <c r="J86" s="7"/>
      <c r="K86" s="7"/>
      <c r="L86" s="8"/>
      <c r="M86" s="3"/>
    </row>
    <row r="87" spans="1:13" hidden="1" x14ac:dyDescent="0.35">
      <c r="A87" s="2"/>
      <c r="B87" s="2"/>
      <c r="C87" s="3"/>
      <c r="D87" s="6"/>
      <c r="E87" s="7"/>
      <c r="F87" s="7"/>
      <c r="G87" s="7"/>
      <c r="H87" s="7"/>
      <c r="I87" s="7"/>
      <c r="J87" s="7"/>
      <c r="K87" s="7"/>
      <c r="L87" s="8"/>
      <c r="M87" s="3"/>
    </row>
    <row r="88" spans="1:13" hidden="1" x14ac:dyDescent="0.35">
      <c r="A88" s="2"/>
      <c r="B88" s="2"/>
      <c r="C88" s="3"/>
      <c r="D88" s="12"/>
      <c r="E88" s="10"/>
      <c r="F88" s="10"/>
      <c r="G88" s="10"/>
      <c r="H88" s="10"/>
      <c r="I88" s="10"/>
      <c r="J88" s="10"/>
      <c r="K88" s="10"/>
      <c r="L88" s="11"/>
      <c r="M88" s="3"/>
    </row>
    <row r="89" spans="1:13" hidden="1" x14ac:dyDescent="0.35">
      <c r="A89" s="2"/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35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35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35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35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35">
      <c r="A94" s="2"/>
      <c r="B94" s="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35">
      <c r="A95" s="2"/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35">
      <c r="A96" s="2"/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35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35"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35"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35"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35">
      <c r="B101" s="2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35"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 x14ac:dyDescent="0.35"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35"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 x14ac:dyDescent="0.35"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 x14ac:dyDescent="0.35"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35"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x14ac:dyDescent="0.35">
      <c r="B108" s="2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 x14ac:dyDescent="0.35"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 x14ac:dyDescent="0.35"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 x14ac:dyDescent="0.35"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 x14ac:dyDescent="0.35"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2:13" x14ac:dyDescent="0.35"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2:13" x14ac:dyDescent="0.35"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2:13" x14ac:dyDescent="0.35">
      <c r="B115" s="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2:13" x14ac:dyDescent="0.35"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2:13" x14ac:dyDescent="0.35"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</sheetData>
  <mergeCells count="13">
    <mergeCell ref="E4:K4"/>
    <mergeCell ref="E17:K17"/>
    <mergeCell ref="E1:K1"/>
    <mergeCell ref="H21:J21"/>
    <mergeCell ref="F23:J28"/>
    <mergeCell ref="J5:K5"/>
    <mergeCell ref="E61:K61"/>
    <mergeCell ref="E74:K74"/>
    <mergeCell ref="E30:K30"/>
    <mergeCell ref="E43:K43"/>
    <mergeCell ref="F12:H15"/>
    <mergeCell ref="F36:J41"/>
    <mergeCell ref="F67:J72"/>
  </mergeCells>
  <conditionalFormatting sqref="E3:J3">
    <cfRule type="expression" dxfId="7" priority="9">
      <formula>$B$3=COLUMN()</formula>
    </cfRule>
  </conditionalFormatting>
  <conditionalFormatting sqref="D6:D15">
    <cfRule type="expression" dxfId="6" priority="8">
      <formula>$B$6=ROW()</formula>
    </cfRule>
  </conditionalFormatting>
  <conditionalFormatting sqref="F50:J50 F56:J59">
    <cfRule type="expression" dxfId="5" priority="6">
      <formula>MOD(ROW(),2)=0</formula>
    </cfRule>
  </conditionalFormatting>
  <conditionalFormatting sqref="E50 E56:E59">
    <cfRule type="expression" dxfId="4" priority="5">
      <formula>MOD(ROW(),2)=0</formula>
    </cfRule>
  </conditionalFormatting>
  <conditionalFormatting sqref="F51:J51 F54:J55">
    <cfRule type="expression" dxfId="3" priority="4">
      <formula>MOD(ROW(),2)=0</formula>
    </cfRule>
  </conditionalFormatting>
  <conditionalFormatting sqref="E51 E54:E55">
    <cfRule type="expression" dxfId="2" priority="3">
      <formula>MOD(ROW(),2)=0</formula>
    </cfRule>
  </conditionalFormatting>
  <conditionalFormatting sqref="F52:J53">
    <cfRule type="expression" dxfId="1" priority="2">
      <formula>MOD(ROW(),2)=0</formula>
    </cfRule>
  </conditionalFormatting>
  <conditionalFormatting sqref="E52:E53">
    <cfRule type="expression" dxfId="0" priority="1">
      <formula>MOD(ROW(),2)=0</formula>
    </cfRule>
  </conditionalFormatting>
  <dataValidations count="4">
    <dataValidation type="list" allowBlank="1" showInputMessage="1" showErrorMessage="1" sqref="F21" xr:uid="{00000000-0002-0000-0000-000000000000}">
      <formula1>ExpenseTypes</formula1>
    </dataValidation>
    <dataValidation type="list" allowBlank="1" showInputMessage="1" showErrorMessage="1" sqref="F19 F32 F45 F63 F76" xr:uid="{00000000-0002-0000-0000-000001000000}">
      <formula1>Vehicles</formula1>
    </dataValidation>
    <dataValidation type="list" allowBlank="1" showInputMessage="1" showErrorMessage="1" sqref="J47" xr:uid="{00000000-0002-0000-0000-000002000000}">
      <formula1>"Active,Inactive"</formula1>
    </dataValidation>
    <dataValidation type="list" allowBlank="1" showInputMessage="1" sqref="F6" xr:uid="{00000000-0002-0000-0000-000003000000}">
      <formula1>Vehicles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activeCell="A4" sqref="A4:A13"/>
    </sheetView>
  </sheetViews>
  <sheetFormatPr defaultRowHeight="14.5" x14ac:dyDescent="0.35"/>
  <cols>
    <col min="1" max="1" width="8" customWidth="1"/>
  </cols>
  <sheetData>
    <row r="1" spans="1:8" x14ac:dyDescent="0.35">
      <c r="A1" s="15" t="s">
        <v>22</v>
      </c>
      <c r="B1" s="15" t="s">
        <v>36</v>
      </c>
      <c r="C1" s="15" t="s">
        <v>37</v>
      </c>
      <c r="D1" s="15" t="s">
        <v>38</v>
      </c>
      <c r="E1" s="15" t="s">
        <v>39</v>
      </c>
      <c r="F1" s="15" t="s">
        <v>40</v>
      </c>
      <c r="G1" s="15" t="s">
        <v>41</v>
      </c>
      <c r="H1" s="18" t="s">
        <v>42</v>
      </c>
    </row>
    <row r="2" spans="1:8" ht="18.5" x14ac:dyDescent="0.45">
      <c r="A2" s="81" t="s">
        <v>1</v>
      </c>
      <c r="B2" s="81"/>
      <c r="C2" s="81"/>
      <c r="D2" s="81"/>
      <c r="E2" s="81"/>
      <c r="F2" s="81"/>
      <c r="G2" s="81"/>
      <c r="H2" s="81"/>
    </row>
    <row r="3" spans="1:8" x14ac:dyDescent="0.35">
      <c r="A3" s="19" t="s">
        <v>21</v>
      </c>
      <c r="B3" s="20" t="s">
        <v>23</v>
      </c>
      <c r="C3" s="20" t="s">
        <v>10</v>
      </c>
      <c r="D3" s="20" t="s">
        <v>11</v>
      </c>
      <c r="E3" s="20" t="s">
        <v>12</v>
      </c>
      <c r="F3" s="20" t="s">
        <v>13</v>
      </c>
      <c r="G3" s="20" t="s">
        <v>19</v>
      </c>
      <c r="H3" s="21" t="s">
        <v>9</v>
      </c>
    </row>
    <row r="4" spans="1:8" x14ac:dyDescent="0.35">
      <c r="A4" s="22" t="s">
        <v>2</v>
      </c>
      <c r="B4" s="23">
        <v>457874</v>
      </c>
      <c r="C4" s="23" t="s">
        <v>33</v>
      </c>
      <c r="D4" s="23" t="s">
        <v>34</v>
      </c>
      <c r="E4" s="23" t="s">
        <v>32</v>
      </c>
      <c r="F4" s="23">
        <v>4</v>
      </c>
      <c r="G4" s="23" t="s">
        <v>35</v>
      </c>
      <c r="H4" s="24" t="s">
        <v>43</v>
      </c>
    </row>
    <row r="5" spans="1:8" x14ac:dyDescent="0.35">
      <c r="A5" s="25" t="s">
        <v>3</v>
      </c>
      <c r="B5" s="26"/>
      <c r="C5" s="26"/>
      <c r="D5" s="26"/>
      <c r="E5" s="26"/>
      <c r="F5" s="26"/>
      <c r="G5" s="26"/>
      <c r="H5" s="27"/>
    </row>
    <row r="6" spans="1:8" x14ac:dyDescent="0.35">
      <c r="A6" s="22" t="s">
        <v>4</v>
      </c>
      <c r="B6" s="23"/>
      <c r="C6" s="23"/>
      <c r="D6" s="23"/>
      <c r="E6" s="23"/>
      <c r="F6" s="23"/>
      <c r="G6" s="23"/>
      <c r="H6" s="24"/>
    </row>
    <row r="7" spans="1:8" x14ac:dyDescent="0.35">
      <c r="A7" s="25" t="s">
        <v>5</v>
      </c>
      <c r="B7" s="26"/>
      <c r="C7" s="26"/>
      <c r="D7" s="26"/>
      <c r="E7" s="26"/>
      <c r="F7" s="26"/>
      <c r="G7" s="26"/>
      <c r="H7" s="27"/>
    </row>
    <row r="8" spans="1:8" x14ac:dyDescent="0.35">
      <c r="A8" s="22" t="s">
        <v>6</v>
      </c>
      <c r="B8" s="23"/>
      <c r="C8" s="23"/>
      <c r="D8" s="23"/>
      <c r="E8" s="23"/>
      <c r="F8" s="23"/>
      <c r="G8" s="23"/>
      <c r="H8" s="24"/>
    </row>
    <row r="9" spans="1:8" x14ac:dyDescent="0.35">
      <c r="A9" s="25" t="s">
        <v>7</v>
      </c>
      <c r="B9" s="26"/>
      <c r="C9" s="26"/>
      <c r="D9" s="26"/>
      <c r="E9" s="26"/>
      <c r="F9" s="26"/>
      <c r="G9" s="26"/>
      <c r="H9" s="27"/>
    </row>
    <row r="10" spans="1:8" x14ac:dyDescent="0.35">
      <c r="A10" s="22" t="s">
        <v>119</v>
      </c>
      <c r="B10" s="23">
        <v>4544</v>
      </c>
      <c r="C10" s="23" t="s">
        <v>33</v>
      </c>
      <c r="D10" s="23" t="s">
        <v>120</v>
      </c>
      <c r="E10" s="23"/>
      <c r="F10" s="23">
        <v>4</v>
      </c>
      <c r="G10" s="23" t="s">
        <v>121</v>
      </c>
      <c r="H10" s="24" t="s">
        <v>122</v>
      </c>
    </row>
    <row r="11" spans="1:8" x14ac:dyDescent="0.35">
      <c r="A11" s="25"/>
      <c r="B11" s="26"/>
      <c r="C11" s="26"/>
      <c r="D11" s="26"/>
      <c r="E11" s="26"/>
      <c r="F11" s="26"/>
      <c r="G11" s="26"/>
      <c r="H11" s="27"/>
    </row>
    <row r="12" spans="1:8" x14ac:dyDescent="0.35">
      <c r="A12" s="22"/>
      <c r="B12" s="23"/>
      <c r="C12" s="23"/>
      <c r="D12" s="23"/>
      <c r="E12" s="23"/>
      <c r="F12" s="23"/>
      <c r="G12" s="23"/>
      <c r="H12" s="24"/>
    </row>
    <row r="13" spans="1:8" x14ac:dyDescent="0.35">
      <c r="A13" s="16"/>
      <c r="B13" s="28"/>
      <c r="C13" s="28"/>
      <c r="D13" s="28"/>
      <c r="E13" s="28"/>
      <c r="F13" s="28"/>
      <c r="G13" s="28"/>
      <c r="H13" s="17"/>
    </row>
  </sheetData>
  <mergeCells count="1"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3"/>
  <sheetViews>
    <sheetView workbookViewId="0">
      <selection activeCell="B10" sqref="B10"/>
    </sheetView>
  </sheetViews>
  <sheetFormatPr defaultRowHeight="14.5" x14ac:dyDescent="0.35"/>
  <cols>
    <col min="2" max="2" width="9.7265625" bestFit="1" customWidth="1"/>
    <col min="5" max="5" width="12.81640625" bestFit="1" customWidth="1"/>
  </cols>
  <sheetData>
    <row r="1" spans="1:6" x14ac:dyDescent="0.35">
      <c r="A1" s="29" t="s">
        <v>50</v>
      </c>
      <c r="B1" s="29" t="s">
        <v>51</v>
      </c>
      <c r="C1" s="29" t="s">
        <v>52</v>
      </c>
      <c r="D1" s="29" t="s">
        <v>53</v>
      </c>
      <c r="E1" s="29" t="s">
        <v>54</v>
      </c>
      <c r="F1" s="29" t="s">
        <v>55</v>
      </c>
    </row>
    <row r="2" spans="1:6" ht="18.5" x14ac:dyDescent="0.45">
      <c r="A2" s="82" t="s">
        <v>48</v>
      </c>
      <c r="B2" s="82"/>
      <c r="C2" s="82"/>
      <c r="D2" s="82"/>
      <c r="E2" s="82"/>
      <c r="F2" s="82"/>
    </row>
    <row r="3" spans="1:6" x14ac:dyDescent="0.35">
      <c r="A3" s="30" t="s">
        <v>18</v>
      </c>
      <c r="B3" s="30" t="s">
        <v>16</v>
      </c>
      <c r="C3" s="30" t="s">
        <v>17</v>
      </c>
      <c r="D3" s="30" t="s">
        <v>20</v>
      </c>
      <c r="E3" s="30" t="s">
        <v>49</v>
      </c>
      <c r="F3" s="30" t="s">
        <v>19</v>
      </c>
    </row>
    <row r="4" spans="1:6" x14ac:dyDescent="0.35">
      <c r="A4" t="s">
        <v>2</v>
      </c>
      <c r="B4" s="31">
        <v>43831</v>
      </c>
      <c r="C4" s="38">
        <v>145</v>
      </c>
      <c r="D4" t="s">
        <v>44</v>
      </c>
      <c r="E4" t="s">
        <v>56</v>
      </c>
      <c r="F4" t="s">
        <v>66</v>
      </c>
    </row>
    <row r="5" spans="1:6" x14ac:dyDescent="0.35">
      <c r="A5" t="s">
        <v>2</v>
      </c>
      <c r="B5" s="31">
        <v>43832</v>
      </c>
      <c r="C5" s="38">
        <v>50</v>
      </c>
      <c r="D5" t="s">
        <v>45</v>
      </c>
      <c r="E5" t="s">
        <v>56</v>
      </c>
      <c r="F5" t="s">
        <v>66</v>
      </c>
    </row>
    <row r="6" spans="1:6" x14ac:dyDescent="0.35">
      <c r="A6" t="s">
        <v>3</v>
      </c>
      <c r="B6" s="31">
        <v>43833</v>
      </c>
      <c r="C6" s="38">
        <v>160</v>
      </c>
      <c r="D6" t="s">
        <v>46</v>
      </c>
      <c r="E6" t="s">
        <v>56</v>
      </c>
      <c r="F6" t="s">
        <v>66</v>
      </c>
    </row>
    <row r="7" spans="1:6" x14ac:dyDescent="0.35">
      <c r="A7" t="s">
        <v>4</v>
      </c>
      <c r="B7" s="31">
        <v>43834</v>
      </c>
      <c r="C7" s="38">
        <v>25</v>
      </c>
      <c r="D7" t="s">
        <v>47</v>
      </c>
      <c r="E7" t="s">
        <v>56</v>
      </c>
      <c r="F7" t="s">
        <v>66</v>
      </c>
    </row>
    <row r="8" spans="1:6" x14ac:dyDescent="0.35">
      <c r="A8" t="s">
        <v>5</v>
      </c>
      <c r="B8" s="31">
        <v>43835</v>
      </c>
      <c r="C8" s="38">
        <v>35</v>
      </c>
      <c r="D8" t="s">
        <v>90</v>
      </c>
      <c r="E8" t="s">
        <v>56</v>
      </c>
      <c r="F8" t="s">
        <v>66</v>
      </c>
    </row>
    <row r="9" spans="1:6" x14ac:dyDescent="0.35">
      <c r="A9" t="s">
        <v>2</v>
      </c>
      <c r="B9" s="31">
        <v>43836</v>
      </c>
      <c r="C9" s="38">
        <v>45</v>
      </c>
      <c r="D9" t="s">
        <v>44</v>
      </c>
      <c r="E9" t="s">
        <v>56</v>
      </c>
      <c r="F9" t="s">
        <v>66</v>
      </c>
    </row>
    <row r="10" spans="1:6" x14ac:dyDescent="0.35">
      <c r="A10" t="s">
        <v>7</v>
      </c>
      <c r="B10" s="31">
        <v>43837</v>
      </c>
      <c r="C10" s="38">
        <v>55</v>
      </c>
      <c r="D10" t="s">
        <v>45</v>
      </c>
      <c r="E10" t="s">
        <v>56</v>
      </c>
      <c r="F10" t="s">
        <v>66</v>
      </c>
    </row>
    <row r="11" spans="1:6" x14ac:dyDescent="0.35">
      <c r="A11" t="s">
        <v>2</v>
      </c>
      <c r="B11" s="31">
        <v>43838</v>
      </c>
      <c r="C11" s="38">
        <v>85</v>
      </c>
      <c r="D11" t="s">
        <v>46</v>
      </c>
      <c r="E11" t="s">
        <v>56</v>
      </c>
      <c r="F11" t="s">
        <v>66</v>
      </c>
    </row>
    <row r="12" spans="1:6" x14ac:dyDescent="0.35">
      <c r="A12" t="s">
        <v>3</v>
      </c>
      <c r="B12" s="31">
        <v>43839</v>
      </c>
      <c r="C12" s="38">
        <v>100</v>
      </c>
      <c r="D12" t="s">
        <v>47</v>
      </c>
      <c r="E12" t="s">
        <v>56</v>
      </c>
      <c r="F12" t="s">
        <v>66</v>
      </c>
    </row>
    <row r="13" spans="1:6" x14ac:dyDescent="0.35">
      <c r="A13" t="s">
        <v>4</v>
      </c>
      <c r="B13" s="31">
        <v>43840</v>
      </c>
      <c r="C13" s="38">
        <v>25</v>
      </c>
      <c r="D13" t="s">
        <v>90</v>
      </c>
      <c r="E13" t="s">
        <v>56</v>
      </c>
      <c r="F13" t="s">
        <v>66</v>
      </c>
    </row>
    <row r="14" spans="1:6" x14ac:dyDescent="0.35">
      <c r="A14" t="s">
        <v>5</v>
      </c>
      <c r="B14" s="31">
        <v>43841</v>
      </c>
      <c r="C14" s="38">
        <v>35</v>
      </c>
      <c r="D14" t="s">
        <v>44</v>
      </c>
      <c r="E14" t="s">
        <v>56</v>
      </c>
      <c r="F14" t="s">
        <v>66</v>
      </c>
    </row>
    <row r="15" spans="1:6" x14ac:dyDescent="0.35">
      <c r="A15" t="s">
        <v>6</v>
      </c>
      <c r="B15" s="31">
        <v>43842</v>
      </c>
      <c r="C15" s="38">
        <v>45</v>
      </c>
      <c r="D15" t="s">
        <v>45</v>
      </c>
      <c r="E15" t="s">
        <v>56</v>
      </c>
      <c r="F15" t="s">
        <v>66</v>
      </c>
    </row>
    <row r="16" spans="1:6" x14ac:dyDescent="0.35">
      <c r="A16" t="s">
        <v>7</v>
      </c>
      <c r="B16" s="31">
        <v>43843</v>
      </c>
      <c r="C16" s="38">
        <v>55</v>
      </c>
      <c r="D16" t="s">
        <v>46</v>
      </c>
      <c r="E16" t="s">
        <v>56</v>
      </c>
      <c r="F16" t="s">
        <v>66</v>
      </c>
    </row>
    <row r="17" spans="1:6" x14ac:dyDescent="0.35">
      <c r="A17" t="s">
        <v>4</v>
      </c>
      <c r="B17" s="31">
        <v>43844</v>
      </c>
      <c r="C17" s="38">
        <v>85</v>
      </c>
      <c r="D17" t="s">
        <v>47</v>
      </c>
      <c r="E17" t="s">
        <v>56</v>
      </c>
      <c r="F17" t="s">
        <v>66</v>
      </c>
    </row>
    <row r="18" spans="1:6" x14ac:dyDescent="0.35">
      <c r="A18" t="s">
        <v>5</v>
      </c>
      <c r="B18" s="31">
        <v>43845</v>
      </c>
      <c r="C18" s="38">
        <v>100</v>
      </c>
      <c r="D18" t="s">
        <v>90</v>
      </c>
      <c r="E18" t="s">
        <v>56</v>
      </c>
      <c r="F18" t="s">
        <v>66</v>
      </c>
    </row>
    <row r="19" spans="1:6" x14ac:dyDescent="0.35">
      <c r="A19" t="s">
        <v>4</v>
      </c>
      <c r="B19" s="31">
        <v>43846</v>
      </c>
      <c r="C19" s="38">
        <v>145</v>
      </c>
      <c r="D19" t="s">
        <v>44</v>
      </c>
      <c r="E19" t="s">
        <v>56</v>
      </c>
      <c r="F19" t="s">
        <v>66</v>
      </c>
    </row>
    <row r="20" spans="1:6" x14ac:dyDescent="0.35">
      <c r="A20" t="s">
        <v>2</v>
      </c>
      <c r="B20" s="31">
        <v>43847</v>
      </c>
      <c r="C20" s="38">
        <v>50</v>
      </c>
      <c r="D20" t="s">
        <v>45</v>
      </c>
      <c r="E20" t="s">
        <v>56</v>
      </c>
      <c r="F20" t="s">
        <v>66</v>
      </c>
    </row>
    <row r="21" spans="1:6" x14ac:dyDescent="0.35">
      <c r="A21" t="s">
        <v>3</v>
      </c>
      <c r="B21" s="31">
        <v>43848</v>
      </c>
      <c r="C21" s="38">
        <v>160</v>
      </c>
      <c r="D21" t="s">
        <v>46</v>
      </c>
      <c r="E21" t="s">
        <v>56</v>
      </c>
      <c r="F21" t="s">
        <v>66</v>
      </c>
    </row>
    <row r="22" spans="1:6" x14ac:dyDescent="0.35">
      <c r="A22" t="s">
        <v>4</v>
      </c>
      <c r="B22" s="31">
        <v>43849</v>
      </c>
      <c r="C22" s="38">
        <v>25</v>
      </c>
      <c r="D22" t="s">
        <v>47</v>
      </c>
      <c r="E22" t="s">
        <v>56</v>
      </c>
      <c r="F22" t="s">
        <v>66</v>
      </c>
    </row>
    <row r="23" spans="1:6" x14ac:dyDescent="0.35">
      <c r="A23" t="s">
        <v>5</v>
      </c>
      <c r="B23" s="31">
        <v>43850</v>
      </c>
      <c r="C23" s="38">
        <v>35</v>
      </c>
      <c r="D23" t="s">
        <v>90</v>
      </c>
      <c r="E23" t="s">
        <v>56</v>
      </c>
      <c r="F23" t="s">
        <v>66</v>
      </c>
    </row>
    <row r="24" spans="1:6" x14ac:dyDescent="0.35">
      <c r="A24" t="s">
        <v>6</v>
      </c>
      <c r="B24" s="31">
        <v>43851</v>
      </c>
      <c r="C24" s="38">
        <v>45</v>
      </c>
      <c r="D24" t="s">
        <v>44</v>
      </c>
      <c r="E24" t="s">
        <v>56</v>
      </c>
      <c r="F24" t="s">
        <v>66</v>
      </c>
    </row>
    <row r="25" spans="1:6" x14ac:dyDescent="0.35">
      <c r="A25" t="s">
        <v>7</v>
      </c>
      <c r="B25" s="31">
        <v>43852</v>
      </c>
      <c r="C25" s="38">
        <v>55</v>
      </c>
      <c r="D25" t="s">
        <v>45</v>
      </c>
      <c r="E25" t="s">
        <v>56</v>
      </c>
      <c r="F25" t="s">
        <v>66</v>
      </c>
    </row>
    <row r="26" spans="1:6" x14ac:dyDescent="0.35">
      <c r="A26" t="s">
        <v>2</v>
      </c>
      <c r="B26" s="31">
        <v>43853</v>
      </c>
      <c r="C26" s="38">
        <v>85</v>
      </c>
      <c r="D26" t="s">
        <v>46</v>
      </c>
      <c r="E26" t="s">
        <v>56</v>
      </c>
      <c r="F26" t="s">
        <v>66</v>
      </c>
    </row>
    <row r="27" spans="1:6" x14ac:dyDescent="0.35">
      <c r="A27" t="s">
        <v>3</v>
      </c>
      <c r="B27" s="31">
        <v>43854</v>
      </c>
      <c r="C27" s="38">
        <v>100</v>
      </c>
      <c r="D27" t="s">
        <v>47</v>
      </c>
      <c r="E27" t="s">
        <v>56</v>
      </c>
      <c r="F27" t="s">
        <v>66</v>
      </c>
    </row>
    <row r="28" spans="1:6" x14ac:dyDescent="0.35">
      <c r="A28" t="s">
        <v>4</v>
      </c>
      <c r="B28" s="31">
        <v>43855</v>
      </c>
      <c r="C28" s="38">
        <v>25</v>
      </c>
      <c r="D28" t="s">
        <v>90</v>
      </c>
      <c r="E28" t="s">
        <v>56</v>
      </c>
      <c r="F28" t="s">
        <v>66</v>
      </c>
    </row>
    <row r="29" spans="1:6" x14ac:dyDescent="0.35">
      <c r="A29" t="s">
        <v>5</v>
      </c>
      <c r="B29" s="31">
        <v>43856</v>
      </c>
      <c r="C29" s="38">
        <v>35</v>
      </c>
      <c r="D29" t="s">
        <v>44</v>
      </c>
      <c r="E29" t="s">
        <v>56</v>
      </c>
      <c r="F29" t="s">
        <v>66</v>
      </c>
    </row>
    <row r="30" spans="1:6" x14ac:dyDescent="0.35">
      <c r="A30" t="s">
        <v>6</v>
      </c>
      <c r="B30" s="31">
        <v>43857</v>
      </c>
      <c r="C30" s="38">
        <v>45</v>
      </c>
      <c r="D30" t="s">
        <v>45</v>
      </c>
      <c r="E30" t="s">
        <v>56</v>
      </c>
      <c r="F30" t="s">
        <v>66</v>
      </c>
    </row>
    <row r="31" spans="1:6" x14ac:dyDescent="0.35">
      <c r="A31" t="s">
        <v>7</v>
      </c>
      <c r="B31" s="31">
        <v>43858</v>
      </c>
      <c r="C31" s="38">
        <v>55</v>
      </c>
      <c r="D31" t="s">
        <v>46</v>
      </c>
      <c r="E31" t="s">
        <v>56</v>
      </c>
      <c r="F31" t="s">
        <v>66</v>
      </c>
    </row>
    <row r="32" spans="1:6" x14ac:dyDescent="0.35">
      <c r="A32" t="s">
        <v>4</v>
      </c>
      <c r="B32" s="31">
        <v>43859</v>
      </c>
      <c r="C32" s="38">
        <v>85</v>
      </c>
      <c r="D32" t="s">
        <v>47</v>
      </c>
      <c r="E32" t="s">
        <v>56</v>
      </c>
      <c r="F32" t="s">
        <v>66</v>
      </c>
    </row>
    <row r="33" spans="1:6" x14ac:dyDescent="0.35">
      <c r="A33" t="s">
        <v>5</v>
      </c>
      <c r="B33" s="31">
        <v>43860</v>
      </c>
      <c r="C33" s="38">
        <v>100</v>
      </c>
      <c r="D33" t="s">
        <v>90</v>
      </c>
      <c r="E33" t="s">
        <v>56</v>
      </c>
      <c r="F33" t="s">
        <v>66</v>
      </c>
    </row>
  </sheetData>
  <mergeCells count="1">
    <mergeCell ref="A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3"/>
  <sheetViews>
    <sheetView workbookViewId="0">
      <selection activeCell="C4" sqref="C4:C43"/>
    </sheetView>
  </sheetViews>
  <sheetFormatPr defaultRowHeight="14.5" x14ac:dyDescent="0.35"/>
  <cols>
    <col min="2" max="2" width="9.7265625" bestFit="1" customWidth="1"/>
    <col min="6" max="6" width="12" customWidth="1"/>
    <col min="7" max="7" width="14.1796875" bestFit="1" customWidth="1"/>
  </cols>
  <sheetData>
    <row r="1" spans="1:7" x14ac:dyDescent="0.35">
      <c r="A1" s="34" t="s">
        <v>69</v>
      </c>
      <c r="B1" s="34" t="s">
        <v>70</v>
      </c>
      <c r="C1" s="34" t="s">
        <v>57</v>
      </c>
      <c r="D1" s="34" t="s">
        <v>58</v>
      </c>
      <c r="E1" s="34" t="s">
        <v>59</v>
      </c>
      <c r="F1" s="34" t="s">
        <v>60</v>
      </c>
      <c r="G1" s="32" t="s">
        <v>61</v>
      </c>
    </row>
    <row r="2" spans="1:7" ht="18.5" x14ac:dyDescent="0.45">
      <c r="A2" s="83" t="s">
        <v>65</v>
      </c>
      <c r="B2" s="84"/>
      <c r="C2" s="84"/>
      <c r="D2" s="84"/>
      <c r="E2" s="84"/>
      <c r="F2" s="84"/>
      <c r="G2" s="85"/>
    </row>
    <row r="3" spans="1:7" x14ac:dyDescent="0.35">
      <c r="A3" s="33" t="s">
        <v>18</v>
      </c>
      <c r="B3" s="33" t="s">
        <v>16</v>
      </c>
      <c r="C3" s="33" t="s">
        <v>17</v>
      </c>
      <c r="D3" s="33" t="s">
        <v>62</v>
      </c>
      <c r="E3" s="33" t="s">
        <v>63</v>
      </c>
      <c r="F3" s="33" t="s">
        <v>64</v>
      </c>
      <c r="G3" s="33" t="s">
        <v>19</v>
      </c>
    </row>
    <row r="4" spans="1:7" x14ac:dyDescent="0.35">
      <c r="A4" t="s">
        <v>4</v>
      </c>
      <c r="B4" s="31">
        <v>43840</v>
      </c>
      <c r="C4" s="38">
        <v>118</v>
      </c>
      <c r="D4" t="s">
        <v>25</v>
      </c>
      <c r="E4">
        <v>29</v>
      </c>
      <c r="F4" t="s">
        <v>67</v>
      </c>
      <c r="G4" t="s">
        <v>68</v>
      </c>
    </row>
    <row r="5" spans="1:7" x14ac:dyDescent="0.35">
      <c r="A5" t="s">
        <v>2</v>
      </c>
      <c r="B5" s="31">
        <f>B4+5</f>
        <v>43845</v>
      </c>
      <c r="C5" s="38">
        <v>66</v>
      </c>
      <c r="D5" t="s">
        <v>25</v>
      </c>
      <c r="E5">
        <v>21</v>
      </c>
      <c r="F5" t="s">
        <v>67</v>
      </c>
      <c r="G5" t="s">
        <v>68</v>
      </c>
    </row>
    <row r="6" spans="1:7" x14ac:dyDescent="0.35">
      <c r="A6" t="s">
        <v>3</v>
      </c>
      <c r="B6" s="31">
        <f t="shared" ref="B6:B38" si="0">B5+5</f>
        <v>43850</v>
      </c>
      <c r="C6" s="38">
        <v>58</v>
      </c>
      <c r="D6" t="s">
        <v>25</v>
      </c>
      <c r="E6">
        <v>15</v>
      </c>
      <c r="F6" t="s">
        <v>67</v>
      </c>
      <c r="G6" t="s">
        <v>68</v>
      </c>
    </row>
    <row r="7" spans="1:7" x14ac:dyDescent="0.35">
      <c r="A7" t="s">
        <v>4</v>
      </c>
      <c r="B7" s="31">
        <f t="shared" si="0"/>
        <v>43855</v>
      </c>
      <c r="C7" s="38">
        <v>77</v>
      </c>
      <c r="D7" t="s">
        <v>25</v>
      </c>
      <c r="E7">
        <v>22</v>
      </c>
      <c r="F7" t="s">
        <v>67</v>
      </c>
      <c r="G7" t="s">
        <v>68</v>
      </c>
    </row>
    <row r="8" spans="1:7" x14ac:dyDescent="0.35">
      <c r="A8" t="s">
        <v>5</v>
      </c>
      <c r="B8" s="31">
        <f t="shared" si="0"/>
        <v>43860</v>
      </c>
      <c r="C8" s="38">
        <v>124</v>
      </c>
      <c r="D8" t="s">
        <v>25</v>
      </c>
      <c r="E8">
        <v>12</v>
      </c>
      <c r="F8" t="s">
        <v>67</v>
      </c>
      <c r="G8" t="s">
        <v>68</v>
      </c>
    </row>
    <row r="9" spans="1:7" x14ac:dyDescent="0.35">
      <c r="A9" t="s">
        <v>6</v>
      </c>
      <c r="B9" s="31">
        <f t="shared" si="0"/>
        <v>43865</v>
      </c>
      <c r="C9" s="38">
        <v>108</v>
      </c>
      <c r="D9" t="s">
        <v>25</v>
      </c>
      <c r="E9">
        <v>26</v>
      </c>
      <c r="F9" t="s">
        <v>67</v>
      </c>
      <c r="G9" t="s">
        <v>68</v>
      </c>
    </row>
    <row r="10" spans="1:7" x14ac:dyDescent="0.35">
      <c r="A10" t="s">
        <v>7</v>
      </c>
      <c r="B10" s="31">
        <f t="shared" si="0"/>
        <v>43870</v>
      </c>
      <c r="C10" s="38">
        <v>62</v>
      </c>
      <c r="D10" t="s">
        <v>25</v>
      </c>
      <c r="E10">
        <v>17</v>
      </c>
      <c r="F10" t="s">
        <v>67</v>
      </c>
      <c r="G10" t="s">
        <v>68</v>
      </c>
    </row>
    <row r="11" spans="1:7" x14ac:dyDescent="0.35">
      <c r="A11" t="s">
        <v>2</v>
      </c>
      <c r="B11" s="31">
        <f t="shared" si="0"/>
        <v>43875</v>
      </c>
      <c r="C11" s="38">
        <v>89</v>
      </c>
      <c r="D11" t="s">
        <v>25</v>
      </c>
      <c r="E11">
        <v>12</v>
      </c>
      <c r="F11" t="s">
        <v>67</v>
      </c>
      <c r="G11" t="s">
        <v>68</v>
      </c>
    </row>
    <row r="12" spans="1:7" x14ac:dyDescent="0.35">
      <c r="A12" t="s">
        <v>3</v>
      </c>
      <c r="B12" s="31">
        <f t="shared" si="0"/>
        <v>43880</v>
      </c>
      <c r="C12" s="38">
        <v>52</v>
      </c>
      <c r="D12" t="s">
        <v>25</v>
      </c>
      <c r="E12">
        <v>17</v>
      </c>
      <c r="F12" t="s">
        <v>67</v>
      </c>
      <c r="G12" t="s">
        <v>68</v>
      </c>
    </row>
    <row r="13" spans="1:7" x14ac:dyDescent="0.35">
      <c r="A13" t="s">
        <v>4</v>
      </c>
      <c r="B13" s="31">
        <f t="shared" si="0"/>
        <v>43885</v>
      </c>
      <c r="C13" s="38">
        <v>75</v>
      </c>
      <c r="D13" t="s">
        <v>25</v>
      </c>
      <c r="E13">
        <v>11</v>
      </c>
      <c r="F13" t="s">
        <v>67</v>
      </c>
      <c r="G13" t="s">
        <v>68</v>
      </c>
    </row>
    <row r="14" spans="1:7" x14ac:dyDescent="0.35">
      <c r="A14" t="s">
        <v>5</v>
      </c>
      <c r="B14" s="31">
        <f t="shared" si="0"/>
        <v>43890</v>
      </c>
      <c r="C14" s="38">
        <v>94</v>
      </c>
      <c r="D14" t="s">
        <v>25</v>
      </c>
      <c r="E14">
        <v>29</v>
      </c>
      <c r="F14" t="s">
        <v>67</v>
      </c>
      <c r="G14" t="s">
        <v>68</v>
      </c>
    </row>
    <row r="15" spans="1:7" x14ac:dyDescent="0.35">
      <c r="A15" t="s">
        <v>6</v>
      </c>
      <c r="B15" s="31">
        <f t="shared" si="0"/>
        <v>43895</v>
      </c>
      <c r="C15" s="38">
        <v>123</v>
      </c>
      <c r="D15" t="s">
        <v>25</v>
      </c>
      <c r="E15">
        <v>21</v>
      </c>
      <c r="F15" t="s">
        <v>67</v>
      </c>
      <c r="G15" t="s">
        <v>68</v>
      </c>
    </row>
    <row r="16" spans="1:7" x14ac:dyDescent="0.35">
      <c r="A16" t="s">
        <v>7</v>
      </c>
      <c r="B16" s="31">
        <f t="shared" si="0"/>
        <v>43900</v>
      </c>
      <c r="C16" s="38">
        <v>100</v>
      </c>
      <c r="D16" t="s">
        <v>25</v>
      </c>
      <c r="E16">
        <v>10</v>
      </c>
      <c r="F16" t="s">
        <v>67</v>
      </c>
      <c r="G16" t="s">
        <v>68</v>
      </c>
    </row>
    <row r="17" spans="1:7" x14ac:dyDescent="0.35">
      <c r="A17" t="s">
        <v>4</v>
      </c>
      <c r="B17" s="31">
        <f t="shared" si="0"/>
        <v>43905</v>
      </c>
      <c r="C17" s="38">
        <v>95</v>
      </c>
      <c r="D17" t="s">
        <v>25</v>
      </c>
      <c r="E17">
        <v>11</v>
      </c>
      <c r="F17" t="s">
        <v>67</v>
      </c>
      <c r="G17" t="s">
        <v>68</v>
      </c>
    </row>
    <row r="18" spans="1:7" x14ac:dyDescent="0.35">
      <c r="A18" t="s">
        <v>5</v>
      </c>
      <c r="B18" s="31">
        <f t="shared" si="0"/>
        <v>43910</v>
      </c>
      <c r="C18" s="38">
        <v>72</v>
      </c>
      <c r="D18" t="s">
        <v>25</v>
      </c>
      <c r="E18">
        <v>19</v>
      </c>
      <c r="F18" t="s">
        <v>67</v>
      </c>
      <c r="G18" t="s">
        <v>68</v>
      </c>
    </row>
    <row r="19" spans="1:7" x14ac:dyDescent="0.35">
      <c r="A19" t="s">
        <v>3</v>
      </c>
      <c r="B19" s="31">
        <f>B18+5</f>
        <v>43915</v>
      </c>
      <c r="C19" s="38">
        <v>121</v>
      </c>
      <c r="D19" t="s">
        <v>25</v>
      </c>
      <c r="E19">
        <v>30</v>
      </c>
      <c r="F19" t="s">
        <v>67</v>
      </c>
      <c r="G19" t="s">
        <v>68</v>
      </c>
    </row>
    <row r="20" spans="1:7" x14ac:dyDescent="0.35">
      <c r="A20" t="s">
        <v>4</v>
      </c>
      <c r="B20" s="31">
        <f t="shared" si="0"/>
        <v>43920</v>
      </c>
      <c r="C20" s="38">
        <v>92</v>
      </c>
      <c r="D20" t="s">
        <v>25</v>
      </c>
      <c r="E20">
        <v>29</v>
      </c>
      <c r="F20" t="s">
        <v>67</v>
      </c>
      <c r="G20" t="s">
        <v>68</v>
      </c>
    </row>
    <row r="21" spans="1:7" x14ac:dyDescent="0.35">
      <c r="A21" t="s">
        <v>5</v>
      </c>
      <c r="B21" s="31">
        <f t="shared" si="0"/>
        <v>43925</v>
      </c>
      <c r="C21" s="38">
        <v>84</v>
      </c>
      <c r="D21" t="s">
        <v>25</v>
      </c>
      <c r="E21">
        <v>16</v>
      </c>
      <c r="F21" t="s">
        <v>67</v>
      </c>
      <c r="G21" t="s">
        <v>68</v>
      </c>
    </row>
    <row r="22" spans="1:7" x14ac:dyDescent="0.35">
      <c r="A22" t="s">
        <v>6</v>
      </c>
      <c r="B22" s="31">
        <f t="shared" si="0"/>
        <v>43930</v>
      </c>
      <c r="C22" s="38">
        <v>59</v>
      </c>
      <c r="D22" t="s">
        <v>25</v>
      </c>
      <c r="E22">
        <v>10</v>
      </c>
      <c r="F22" t="s">
        <v>67</v>
      </c>
      <c r="G22" t="s">
        <v>68</v>
      </c>
    </row>
    <row r="23" spans="1:7" x14ac:dyDescent="0.35">
      <c r="A23" t="s">
        <v>7</v>
      </c>
      <c r="B23" s="31">
        <f t="shared" si="0"/>
        <v>43935</v>
      </c>
      <c r="C23" s="38">
        <v>89</v>
      </c>
      <c r="D23" t="s">
        <v>25</v>
      </c>
      <c r="E23">
        <v>14</v>
      </c>
      <c r="F23" t="s">
        <v>67</v>
      </c>
      <c r="G23" t="s">
        <v>68</v>
      </c>
    </row>
    <row r="24" spans="1:7" x14ac:dyDescent="0.35">
      <c r="A24" t="s">
        <v>2</v>
      </c>
      <c r="B24" s="31">
        <f t="shared" si="0"/>
        <v>43940</v>
      </c>
      <c r="C24" s="38">
        <v>125</v>
      </c>
      <c r="D24" t="s">
        <v>25</v>
      </c>
      <c r="E24">
        <v>19</v>
      </c>
      <c r="F24" t="s">
        <v>67</v>
      </c>
      <c r="G24" t="s">
        <v>68</v>
      </c>
    </row>
    <row r="25" spans="1:7" x14ac:dyDescent="0.35">
      <c r="A25" t="s">
        <v>3</v>
      </c>
      <c r="B25" s="31">
        <f t="shared" si="0"/>
        <v>43945</v>
      </c>
      <c r="C25" s="38">
        <v>56</v>
      </c>
      <c r="D25" t="s">
        <v>25</v>
      </c>
      <c r="E25">
        <v>25</v>
      </c>
      <c r="F25" t="s">
        <v>67</v>
      </c>
      <c r="G25" t="s">
        <v>68</v>
      </c>
    </row>
    <row r="26" spans="1:7" x14ac:dyDescent="0.35">
      <c r="A26" t="s">
        <v>4</v>
      </c>
      <c r="B26" s="31">
        <f t="shared" si="0"/>
        <v>43950</v>
      </c>
      <c r="C26" s="38">
        <v>96</v>
      </c>
      <c r="D26" t="s">
        <v>25</v>
      </c>
      <c r="E26">
        <v>28</v>
      </c>
      <c r="F26" t="s">
        <v>67</v>
      </c>
      <c r="G26" t="s">
        <v>68</v>
      </c>
    </row>
    <row r="27" spans="1:7" x14ac:dyDescent="0.35">
      <c r="A27" t="s">
        <v>5</v>
      </c>
      <c r="B27" s="31">
        <f t="shared" si="0"/>
        <v>43955</v>
      </c>
      <c r="C27" s="38">
        <v>121</v>
      </c>
      <c r="D27" t="s">
        <v>25</v>
      </c>
      <c r="E27">
        <v>18</v>
      </c>
      <c r="F27" t="s">
        <v>67</v>
      </c>
      <c r="G27" t="s">
        <v>68</v>
      </c>
    </row>
    <row r="28" spans="1:7" x14ac:dyDescent="0.35">
      <c r="A28" t="s">
        <v>6</v>
      </c>
      <c r="B28" s="31">
        <f t="shared" si="0"/>
        <v>43960</v>
      </c>
      <c r="C28" s="38">
        <v>111</v>
      </c>
      <c r="D28" t="s">
        <v>25</v>
      </c>
      <c r="E28">
        <v>25</v>
      </c>
      <c r="F28" t="s">
        <v>67</v>
      </c>
      <c r="G28" t="s">
        <v>68</v>
      </c>
    </row>
    <row r="29" spans="1:7" x14ac:dyDescent="0.35">
      <c r="A29" t="s">
        <v>2</v>
      </c>
      <c r="B29" s="31">
        <f t="shared" si="0"/>
        <v>43965</v>
      </c>
      <c r="C29" s="38">
        <v>124</v>
      </c>
      <c r="D29" t="s">
        <v>25</v>
      </c>
      <c r="E29">
        <v>27</v>
      </c>
      <c r="F29" t="s">
        <v>67</v>
      </c>
      <c r="G29" t="s">
        <v>68</v>
      </c>
    </row>
    <row r="30" spans="1:7" x14ac:dyDescent="0.35">
      <c r="A30" t="s">
        <v>4</v>
      </c>
      <c r="B30" s="31">
        <f t="shared" si="0"/>
        <v>43970</v>
      </c>
      <c r="C30" s="38">
        <v>52</v>
      </c>
      <c r="D30" t="s">
        <v>25</v>
      </c>
      <c r="E30">
        <v>18</v>
      </c>
      <c r="F30" t="s">
        <v>67</v>
      </c>
      <c r="G30" t="s">
        <v>68</v>
      </c>
    </row>
    <row r="31" spans="1:7" x14ac:dyDescent="0.35">
      <c r="A31" t="s">
        <v>5</v>
      </c>
      <c r="B31" s="31">
        <f t="shared" si="0"/>
        <v>43975</v>
      </c>
      <c r="C31" s="38">
        <v>82</v>
      </c>
      <c r="D31" t="s">
        <v>25</v>
      </c>
      <c r="E31">
        <v>19</v>
      </c>
      <c r="F31" t="s">
        <v>67</v>
      </c>
      <c r="G31" t="s">
        <v>68</v>
      </c>
    </row>
    <row r="32" spans="1:7" x14ac:dyDescent="0.35">
      <c r="A32" t="s">
        <v>3</v>
      </c>
      <c r="B32" s="31">
        <f>B31+5</f>
        <v>43980</v>
      </c>
      <c r="C32" s="38">
        <v>90</v>
      </c>
      <c r="D32" t="s">
        <v>25</v>
      </c>
      <c r="E32">
        <v>21</v>
      </c>
      <c r="F32" t="s">
        <v>67</v>
      </c>
      <c r="G32" t="s">
        <v>68</v>
      </c>
    </row>
    <row r="33" spans="1:7" x14ac:dyDescent="0.35">
      <c r="A33" t="s">
        <v>4</v>
      </c>
      <c r="B33" s="31">
        <f t="shared" si="0"/>
        <v>43985</v>
      </c>
      <c r="C33" s="38">
        <v>59</v>
      </c>
      <c r="D33" t="s">
        <v>25</v>
      </c>
      <c r="E33">
        <v>14</v>
      </c>
      <c r="F33" t="s">
        <v>67</v>
      </c>
      <c r="G33" t="s">
        <v>68</v>
      </c>
    </row>
    <row r="34" spans="1:7" x14ac:dyDescent="0.35">
      <c r="A34" t="s">
        <v>5</v>
      </c>
      <c r="B34" s="31">
        <f t="shared" si="0"/>
        <v>43990</v>
      </c>
      <c r="C34" s="38">
        <v>68</v>
      </c>
      <c r="D34" t="s">
        <v>25</v>
      </c>
      <c r="E34">
        <v>16</v>
      </c>
      <c r="F34" t="s">
        <v>67</v>
      </c>
      <c r="G34" t="s">
        <v>68</v>
      </c>
    </row>
    <row r="35" spans="1:7" x14ac:dyDescent="0.35">
      <c r="A35" t="s">
        <v>6</v>
      </c>
      <c r="B35" s="31">
        <f t="shared" si="0"/>
        <v>43995</v>
      </c>
      <c r="C35" s="38">
        <v>110</v>
      </c>
      <c r="D35" t="s">
        <v>25</v>
      </c>
      <c r="E35">
        <v>17</v>
      </c>
      <c r="F35" t="s">
        <v>67</v>
      </c>
      <c r="G35" t="s">
        <v>68</v>
      </c>
    </row>
    <row r="36" spans="1:7" x14ac:dyDescent="0.35">
      <c r="A36" t="s">
        <v>7</v>
      </c>
      <c r="B36" s="31">
        <f t="shared" si="0"/>
        <v>44000</v>
      </c>
      <c r="C36" s="38">
        <v>74</v>
      </c>
      <c r="D36" t="s">
        <v>25</v>
      </c>
      <c r="E36">
        <v>12</v>
      </c>
      <c r="F36" t="s">
        <v>67</v>
      </c>
      <c r="G36" t="s">
        <v>68</v>
      </c>
    </row>
    <row r="37" spans="1:7" x14ac:dyDescent="0.35">
      <c r="A37" t="s">
        <v>2</v>
      </c>
      <c r="B37" s="31">
        <f t="shared" si="0"/>
        <v>44005</v>
      </c>
      <c r="C37" s="38">
        <v>122</v>
      </c>
      <c r="D37" t="s">
        <v>25</v>
      </c>
      <c r="E37">
        <v>26</v>
      </c>
      <c r="F37" t="s">
        <v>67</v>
      </c>
      <c r="G37" t="s">
        <v>68</v>
      </c>
    </row>
    <row r="38" spans="1:7" x14ac:dyDescent="0.35">
      <c r="A38" t="s">
        <v>3</v>
      </c>
      <c r="B38" s="31">
        <f t="shared" si="0"/>
        <v>44010</v>
      </c>
      <c r="C38" s="38">
        <v>72</v>
      </c>
      <c r="D38" t="s">
        <v>25</v>
      </c>
      <c r="E38">
        <v>10</v>
      </c>
      <c r="F38" t="s">
        <v>67</v>
      </c>
      <c r="G38" t="s">
        <v>68</v>
      </c>
    </row>
    <row r="39" spans="1:7" x14ac:dyDescent="0.35">
      <c r="B39" s="31"/>
      <c r="C39" s="38"/>
    </row>
    <row r="40" spans="1:7" x14ac:dyDescent="0.35">
      <c r="C40" s="38"/>
    </row>
    <row r="41" spans="1:7" x14ac:dyDescent="0.35">
      <c r="C41" s="38"/>
    </row>
    <row r="42" spans="1:7" x14ac:dyDescent="0.35">
      <c r="C42" s="38"/>
    </row>
    <row r="43" spans="1:7" x14ac:dyDescent="0.35">
      <c r="C43" s="38"/>
    </row>
  </sheetData>
  <mergeCells count="1">
    <mergeCell ref="A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6"/>
  <sheetViews>
    <sheetView workbookViewId="0">
      <selection activeCell="F4" sqref="F4:F6"/>
    </sheetView>
  </sheetViews>
  <sheetFormatPr defaultRowHeight="14.5" x14ac:dyDescent="0.35"/>
  <cols>
    <col min="2" max="2" width="11.1796875" bestFit="1" customWidth="1"/>
    <col min="3" max="3" width="9.81640625" bestFit="1" customWidth="1"/>
    <col min="6" max="6" width="9.7265625" bestFit="1" customWidth="1"/>
    <col min="10" max="10" width="9.81640625" bestFit="1" customWidth="1"/>
    <col min="11" max="11" width="9.81640625" customWidth="1"/>
    <col min="17" max="17" width="9.7265625" bestFit="1" customWidth="1"/>
  </cols>
  <sheetData>
    <row r="1" spans="1:18" x14ac:dyDescent="0.35">
      <c r="A1" s="14" t="s">
        <v>73</v>
      </c>
      <c r="B1" s="14" t="s">
        <v>74</v>
      </c>
      <c r="C1" s="14" t="s">
        <v>75</v>
      </c>
      <c r="D1" s="14" t="s">
        <v>76</v>
      </c>
      <c r="E1" s="14" t="s">
        <v>77</v>
      </c>
      <c r="F1" s="2"/>
      <c r="I1" s="86" t="s">
        <v>80</v>
      </c>
      <c r="J1" s="87"/>
      <c r="L1" s="90" t="s">
        <v>81</v>
      </c>
      <c r="M1" s="91"/>
      <c r="N1" s="91"/>
      <c r="O1" s="91"/>
      <c r="P1" s="91"/>
      <c r="Q1" s="91"/>
      <c r="R1" s="91"/>
    </row>
    <row r="2" spans="1:18" x14ac:dyDescent="0.35">
      <c r="A2" s="88" t="s">
        <v>78</v>
      </c>
      <c r="B2" s="89"/>
      <c r="C2" s="89"/>
      <c r="D2" s="89"/>
      <c r="E2" s="89"/>
      <c r="F2" s="89"/>
      <c r="G2" s="89"/>
      <c r="I2" s="35" t="s">
        <v>71</v>
      </c>
      <c r="J2" s="35" t="s">
        <v>27</v>
      </c>
      <c r="L2" s="36" t="s">
        <v>18</v>
      </c>
      <c r="M2" s="36" t="s">
        <v>21</v>
      </c>
      <c r="N2" s="36" t="s">
        <v>27</v>
      </c>
      <c r="O2" s="36" t="s">
        <v>79</v>
      </c>
      <c r="P2" s="36" t="s">
        <v>71</v>
      </c>
      <c r="Q2" s="36" t="s">
        <v>28</v>
      </c>
      <c r="R2" s="40" t="s">
        <v>91</v>
      </c>
    </row>
    <row r="3" spans="1:18" x14ac:dyDescent="0.35">
      <c r="A3" s="35" t="s">
        <v>18</v>
      </c>
      <c r="B3" s="35" t="s">
        <v>21</v>
      </c>
      <c r="C3" s="35" t="s">
        <v>27</v>
      </c>
      <c r="D3" s="35" t="s">
        <v>79</v>
      </c>
      <c r="E3" s="35" t="s">
        <v>71</v>
      </c>
      <c r="F3" s="35" t="s">
        <v>28</v>
      </c>
      <c r="G3" s="35" t="s">
        <v>91</v>
      </c>
      <c r="I3" s="36" t="s">
        <v>72</v>
      </c>
      <c r="J3" s="39" t="str">
        <f ca="1">"&lt;="&amp;TODAY()</f>
        <v>&lt;=43984</v>
      </c>
      <c r="N3" s="31"/>
      <c r="Q3" s="31"/>
    </row>
    <row r="4" spans="1:18" x14ac:dyDescent="0.35">
      <c r="A4" t="s">
        <v>2</v>
      </c>
      <c r="B4" t="s">
        <v>29</v>
      </c>
      <c r="C4" s="31">
        <v>43926</v>
      </c>
      <c r="D4">
        <v>90</v>
      </c>
      <c r="E4" t="s">
        <v>72</v>
      </c>
      <c r="F4" s="31">
        <v>43848</v>
      </c>
      <c r="G4">
        <v>4</v>
      </c>
      <c r="N4" s="31"/>
      <c r="Q4" s="31"/>
    </row>
    <row r="5" spans="1:18" x14ac:dyDescent="0.35">
      <c r="A5" t="s">
        <v>2</v>
      </c>
      <c r="B5" t="s">
        <v>92</v>
      </c>
      <c r="C5" s="31">
        <v>43926</v>
      </c>
      <c r="D5">
        <v>90</v>
      </c>
      <c r="E5" t="s">
        <v>72</v>
      </c>
      <c r="F5" s="31">
        <v>43848</v>
      </c>
      <c r="G5">
        <v>5</v>
      </c>
      <c r="N5" s="31"/>
      <c r="Q5" s="31"/>
    </row>
    <row r="6" spans="1:18" x14ac:dyDescent="0.35">
      <c r="A6" t="s">
        <v>2</v>
      </c>
      <c r="B6" t="s">
        <v>93</v>
      </c>
      <c r="C6" s="31">
        <v>43926</v>
      </c>
      <c r="D6">
        <v>90</v>
      </c>
      <c r="E6" t="s">
        <v>72</v>
      </c>
      <c r="F6" s="31">
        <v>43848</v>
      </c>
      <c r="G6">
        <v>6</v>
      </c>
    </row>
  </sheetData>
  <mergeCells count="3">
    <mergeCell ref="I1:J1"/>
    <mergeCell ref="A2:G2"/>
    <mergeCell ref="L1:R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4"/>
  <sheetViews>
    <sheetView workbookViewId="0">
      <selection activeCell="F19" sqref="F19"/>
    </sheetView>
  </sheetViews>
  <sheetFormatPr defaultRowHeight="14.5" x14ac:dyDescent="0.35"/>
  <cols>
    <col min="3" max="3" width="9.7265625" bestFit="1" customWidth="1"/>
  </cols>
  <sheetData>
    <row r="1" spans="1:5" x14ac:dyDescent="0.35">
      <c r="A1" s="14" t="s">
        <v>84</v>
      </c>
      <c r="B1" s="14" t="s">
        <v>85</v>
      </c>
      <c r="C1" s="14" t="s">
        <v>86</v>
      </c>
      <c r="D1" s="14" t="s">
        <v>87</v>
      </c>
      <c r="E1" s="14" t="s">
        <v>88</v>
      </c>
    </row>
    <row r="2" spans="1:5" x14ac:dyDescent="0.35">
      <c r="A2" s="92" t="s">
        <v>89</v>
      </c>
      <c r="B2" s="92"/>
      <c r="C2" s="92"/>
      <c r="D2" s="92"/>
      <c r="E2" s="92"/>
    </row>
    <row r="3" spans="1:5" x14ac:dyDescent="0.35">
      <c r="A3" s="37" t="s">
        <v>18</v>
      </c>
      <c r="B3" s="37" t="s">
        <v>12</v>
      </c>
      <c r="C3" s="37" t="s">
        <v>16</v>
      </c>
      <c r="D3" s="37" t="s">
        <v>83</v>
      </c>
      <c r="E3" s="37" t="s">
        <v>19</v>
      </c>
    </row>
    <row r="4" spans="1:5" x14ac:dyDescent="0.35">
      <c r="A4" t="s">
        <v>3</v>
      </c>
      <c r="B4" t="s">
        <v>82</v>
      </c>
      <c r="C4" s="31">
        <v>43850</v>
      </c>
      <c r="D4">
        <v>151005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Vehicle Expense Tracker</vt:lpstr>
      <vt:lpstr>Vehicle List</vt:lpstr>
      <vt:lpstr>Expenses List</vt:lpstr>
      <vt:lpstr>Fuel Log</vt:lpstr>
      <vt:lpstr>Reminders</vt:lpstr>
      <vt:lpstr>Meter Tracking</vt:lpstr>
      <vt:lpstr>ExpenseTypes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ASUS</cp:lastModifiedBy>
  <dcterms:created xsi:type="dcterms:W3CDTF">2020-04-17T03:27:55Z</dcterms:created>
  <dcterms:modified xsi:type="dcterms:W3CDTF">2020-06-02T13:11:21Z</dcterms:modified>
</cp:coreProperties>
</file>